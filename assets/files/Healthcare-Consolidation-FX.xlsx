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X Rates" sheetId="2" state="visible" r:id="rId2"/>
    <sheet xmlns:r="http://schemas.openxmlformats.org/officeDocument/2006/relationships" name="Entity TB (LCY)" sheetId="3" state="visible" r:id="rId3"/>
    <sheet xmlns:r="http://schemas.openxmlformats.org/officeDocument/2006/relationships" name="Translation" sheetId="4" state="visible" r:id="rId4"/>
    <sheet xmlns:r="http://schemas.openxmlformats.org/officeDocument/2006/relationships" name="Eliminations" sheetId="5" state="visible" r:id="rId5"/>
    <sheet xmlns:r="http://schemas.openxmlformats.org/officeDocument/2006/relationships" name="Consolidation" sheetId="6" state="visible" r:id="rId6"/>
    <sheet xmlns:r="http://schemas.openxmlformats.org/officeDocument/2006/relationships" name="Consolidated P&amp;L" sheetId="7" state="visible" r:id="rId7"/>
    <sheet xmlns:r="http://schemas.openxmlformats.org/officeDocument/2006/relationships" name="Consolidated BS" sheetId="8" state="visible" r:id="rId8"/>
    <sheet xmlns:r="http://schemas.openxmlformats.org/officeDocument/2006/relationships" name="Consolidated CF" sheetId="9" state="visible" r:id="rId9"/>
    <sheet xmlns:r="http://schemas.openxmlformats.org/officeDocument/2006/relationships" name="CTA Roll-forward" sheetId="10" state="visible" r:id="rId10"/>
    <sheet xmlns:r="http://schemas.openxmlformats.org/officeDocument/2006/relationships" name="Constant Currenc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#,##0;(#,##0);-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4CA98A"/>
      <sz val="15"/>
    </font>
    <font>
      <i val="1"/>
      <color rgb="006B7280"/>
    </font>
    <font>
      <b val="1"/>
    </font>
    <font>
      <b val="1"/>
      <color rgb="00FFFFFF"/>
    </font>
    <font>
      <b val="1"/>
      <color rgb="00DC2626"/>
    </font>
    <font>
      <i val="1"/>
    </font>
    <font>
      <i val="1"/>
      <color rgb="00DC2626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6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Ravaan Medical Group - Consolidation &amp; FX Translation</t>
        </is>
      </c>
    </row>
    <row r="2">
      <c r="A2" s="2" t="inlineStr">
        <is>
          <t>Fictional company, generated data (seeded). Reporting currency AED. Actuals Jan-2025 to Sep-2026; budget FY2026.</t>
        </is>
      </c>
    </row>
    <row r="4">
      <c r="A4" s="3" t="inlineStr">
        <is>
          <t>Group</t>
        </is>
      </c>
      <c r="B4" s="4" t="inlineStr">
        <is>
          <t>Ravaan Medical Group Holding Ltd (Dubai head office) owns 8 operating subsidiaries - UAE, KSA, Qatar, Kuwait, Pakistan, Afghanistan, UK, USA - running 18 clinics.</t>
        </is>
      </c>
    </row>
    <row r="5">
      <c r="A5" s="3" t="inlineStr">
        <is>
          <t>Translation (IAS 21)</t>
        </is>
      </c>
      <c r="B5" s="4" t="inlineStr">
        <is>
          <t>Income and expenses at each month's average rate; assets and liabilities at the month-end closing rate; share capital at the historical rate; retained earnings = opening balance at historical rate + profit translated month by month.</t>
        </is>
      </c>
    </row>
    <row r="6">
      <c r="A6" s="3" t="inlineStr">
        <is>
          <t>Translation reserve (CTA)</t>
        </is>
      </c>
      <c r="B6" s="4" t="inlineStr">
        <is>
          <t>The balancing figure: translated net assets - share capital - retained earnings. It sits in equity (other comprehensive income), never in profit.</t>
        </is>
      </c>
    </row>
    <row r="7">
      <c r="A7" s="3" t="inlineStr">
        <is>
          <t>Eliminations</t>
        </is>
      </c>
      <c r="B7" s="4" t="inlineStr">
        <is>
          <t>1) Head-office management fee (4% of each subsidiary's net revenue): income in the holding company, expense in the subsidiaries - removed on consolidation. 2) Investment in subsidiaries (holding company) against the subsidiaries' share capital.</t>
        </is>
      </c>
    </row>
    <row r="8">
      <c r="A8" s="3" t="inlineStr">
        <is>
          <t>Pegged currencies</t>
        </is>
      </c>
      <c r="B8" s="4" t="inlineStr">
        <is>
          <t>SAR, QAR and USD are pegged to the dollar like the AED, so they create almost no translation difference; KWD follows a basket. PKR, AFN and GBP float - that is where the FX story is.</t>
        </is>
      </c>
    </row>
    <row r="9">
      <c r="A9" s="3" t="inlineStr">
        <is>
          <t>Constant currency</t>
        </is>
      </c>
      <c r="B9" s="4" t="inlineStr">
        <is>
          <t>Organic growth = this year's local-currency results at last year's rates vs last year. FX impact = reported AED - constant-currency AED.</t>
        </is>
      </c>
    </row>
    <row r="10">
      <c r="A10" s="3" t="inlineStr">
        <is>
          <t>How to read the sheets</t>
        </is>
      </c>
      <c r="B10" s="4" t="inlineStr">
        <is>
          <t>FX Rates -&gt; Entity TB (local currency) -&gt; Translation (formulas) -&gt; Eliminations -&gt; Consolidation (sum of entities + eliminations) -&gt; statements.</t>
        </is>
      </c>
    </row>
    <row r="11">
      <c r="A11" s="3" t="inlineStr">
        <is>
          <t>Source</t>
        </is>
      </c>
      <c r="B11" s="4" t="inlineStr">
        <is>
          <t>Data\*.csv generated by gen_data.py; this workbook by build_consolidation.py. The Power BI report reads the same CSVs, so the numbers agree.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Exchange rates - AED per 1 unit of local currency</t>
        </is>
      </c>
    </row>
    <row r="2">
      <c r="A2" s="2" t="inlineStr">
        <is>
          <t>Average = mean of opening and closing month-end rate. Budget rate FY2026 = 31-Dec-2025 closing. Historical = rate when share capital was injected.</t>
        </is>
      </c>
    </row>
    <row r="4">
      <c r="A4" s="5" t="inlineStr">
        <is>
          <t>Month</t>
        </is>
      </c>
      <c r="B4" s="5" t="inlineStr">
        <is>
          <t>SAR avg</t>
        </is>
      </c>
      <c r="C4" s="5" t="inlineStr">
        <is>
          <t>QAR avg</t>
        </is>
      </c>
      <c r="D4" s="5" t="inlineStr">
        <is>
          <t>KWD avg</t>
        </is>
      </c>
      <c r="E4" s="5" t="inlineStr">
        <is>
          <t>PKR avg</t>
        </is>
      </c>
      <c r="F4" s="5" t="inlineStr">
        <is>
          <t>AFN avg</t>
        </is>
      </c>
      <c r="G4" s="5" t="inlineStr">
        <is>
          <t>GBP avg</t>
        </is>
      </c>
      <c r="H4" s="5" t="inlineStr">
        <is>
          <t>USD avg</t>
        </is>
      </c>
      <c r="I4" s="5" t="inlineStr">
        <is>
          <t>SAR close</t>
        </is>
      </c>
      <c r="J4" s="5" t="inlineStr">
        <is>
          <t>QAR close</t>
        </is>
      </c>
      <c r="K4" s="5" t="inlineStr">
        <is>
          <t>KWD close</t>
        </is>
      </c>
      <c r="L4" s="5" t="inlineStr">
        <is>
          <t>PKR close</t>
        </is>
      </c>
      <c r="M4" s="5" t="inlineStr">
        <is>
          <t>AFN close</t>
        </is>
      </c>
      <c r="N4" s="5" t="inlineStr">
        <is>
          <t>GBP close</t>
        </is>
      </c>
      <c r="O4" s="5" t="inlineStr">
        <is>
          <t>USD close</t>
        </is>
      </c>
    </row>
    <row r="5">
      <c r="A5" t="inlineStr">
        <is>
          <t>Dec-24</t>
        </is>
      </c>
      <c r="B5" s="6" t="n">
        <v>0.97933333</v>
      </c>
      <c r="C5" s="6" t="n">
        <v>1.00892857</v>
      </c>
      <c r="D5" s="6" t="n">
        <v>11.92768603</v>
      </c>
      <c r="E5" s="6" t="n">
        <v>0.01324183</v>
      </c>
      <c r="F5" s="6" t="n">
        <v>0.0524841</v>
      </c>
      <c r="G5" s="6" t="n">
        <v>4.61306203</v>
      </c>
      <c r="H5" s="6" t="n">
        <v>3.6725</v>
      </c>
      <c r="I5" s="6" t="n">
        <v>0.97933333</v>
      </c>
      <c r="J5" s="6" t="n">
        <v>1.00892857</v>
      </c>
      <c r="K5" s="6" t="n">
        <v>11.92960497</v>
      </c>
      <c r="L5" s="6" t="n">
        <v>0.01325605</v>
      </c>
      <c r="M5" s="6" t="n">
        <v>0.05264161</v>
      </c>
      <c r="N5" s="6" t="n">
        <v>4.58735635</v>
      </c>
      <c r="O5" s="6" t="n">
        <v>3.6725</v>
      </c>
    </row>
    <row r="6">
      <c r="A6" t="inlineStr">
        <is>
          <t>Jan-25</t>
        </is>
      </c>
      <c r="B6" s="6" t="n">
        <v>0.97933333</v>
      </c>
      <c r="C6" s="6" t="n">
        <v>1.00892857</v>
      </c>
      <c r="D6" s="6" t="n">
        <v>11.92958408</v>
      </c>
      <c r="E6" s="6" t="n">
        <v>0.01319127</v>
      </c>
      <c r="F6" s="6" t="n">
        <v>0.05242656</v>
      </c>
      <c r="G6" s="6" t="n">
        <v>4.63283827</v>
      </c>
      <c r="H6" s="6" t="n">
        <v>3.6725</v>
      </c>
      <c r="I6" s="6" t="n">
        <v>0.97933333</v>
      </c>
      <c r="J6" s="6" t="n">
        <v>1.00892857</v>
      </c>
      <c r="K6" s="6" t="n">
        <v>11.92956318</v>
      </c>
      <c r="L6" s="6" t="n">
        <v>0.01312649</v>
      </c>
      <c r="M6" s="6" t="n">
        <v>0.0522115</v>
      </c>
      <c r="N6" s="6" t="n">
        <v>4.67832019</v>
      </c>
      <c r="O6" s="6" t="n">
        <v>3.6725</v>
      </c>
    </row>
    <row r="7">
      <c r="A7" t="inlineStr">
        <is>
          <t>Feb-25</t>
        </is>
      </c>
      <c r="B7" s="6" t="n">
        <v>0.97933333</v>
      </c>
      <c r="C7" s="6" t="n">
        <v>1.00892857</v>
      </c>
      <c r="D7" s="6" t="n">
        <v>11.92766159</v>
      </c>
      <c r="E7" s="6" t="n">
        <v>0.01313429</v>
      </c>
      <c r="F7" s="6" t="n">
        <v>0.05232934</v>
      </c>
      <c r="G7" s="6" t="n">
        <v>4.70354719</v>
      </c>
      <c r="H7" s="6" t="n">
        <v>3.6725</v>
      </c>
      <c r="I7" s="6" t="n">
        <v>0.97933333</v>
      </c>
      <c r="J7" s="6" t="n">
        <v>1.00892857</v>
      </c>
      <c r="K7" s="6" t="n">
        <v>11.92576</v>
      </c>
      <c r="L7" s="6" t="n">
        <v>0.0131421</v>
      </c>
      <c r="M7" s="6" t="n">
        <v>0.05244719</v>
      </c>
      <c r="N7" s="6" t="n">
        <v>4.72877418</v>
      </c>
      <c r="O7" s="6" t="n">
        <v>3.6725</v>
      </c>
    </row>
    <row r="8">
      <c r="A8" t="inlineStr">
        <is>
          <t>Mar-25</t>
        </is>
      </c>
      <c r="B8" s="6" t="n">
        <v>0.97933333</v>
      </c>
      <c r="C8" s="6" t="n">
        <v>1.00892857</v>
      </c>
      <c r="D8" s="6" t="n">
        <v>11.91838513</v>
      </c>
      <c r="E8" s="6" t="n">
        <v>0.0131418</v>
      </c>
      <c r="F8" s="6" t="n">
        <v>0.05259945</v>
      </c>
      <c r="G8" s="6" t="n">
        <v>4.77685057</v>
      </c>
      <c r="H8" s="6" t="n">
        <v>3.6725</v>
      </c>
      <c r="I8" s="6" t="n">
        <v>0.97933333</v>
      </c>
      <c r="J8" s="6" t="n">
        <v>1.00892857</v>
      </c>
      <c r="K8" s="6" t="n">
        <v>11.91101026</v>
      </c>
      <c r="L8" s="6" t="n">
        <v>0.0131415</v>
      </c>
      <c r="M8" s="6" t="n">
        <v>0.05275171</v>
      </c>
      <c r="N8" s="6" t="n">
        <v>4.82492696</v>
      </c>
      <c r="O8" s="6" t="n">
        <v>3.6725</v>
      </c>
    </row>
    <row r="9">
      <c r="A9" t="inlineStr">
        <is>
          <t>Apr-25</t>
        </is>
      </c>
      <c r="B9" s="6" t="n">
        <v>0.97933333</v>
      </c>
      <c r="C9" s="6" t="n">
        <v>1.00892857</v>
      </c>
      <c r="D9" s="6" t="n">
        <v>11.91983106</v>
      </c>
      <c r="E9" s="6" t="n">
        <v>0.01310056</v>
      </c>
      <c r="F9" s="6" t="n">
        <v>0.05283955</v>
      </c>
      <c r="G9" s="6" t="n">
        <v>4.84231746</v>
      </c>
      <c r="H9" s="6" t="n">
        <v>3.6725</v>
      </c>
      <c r="I9" s="6" t="n">
        <v>0.97933333</v>
      </c>
      <c r="J9" s="6" t="n">
        <v>1.00892857</v>
      </c>
      <c r="K9" s="6" t="n">
        <v>11.92865187</v>
      </c>
      <c r="L9" s="6" t="n">
        <v>0.01305962</v>
      </c>
      <c r="M9" s="6" t="n">
        <v>0.0529274</v>
      </c>
      <c r="N9" s="6" t="n">
        <v>4.85970795</v>
      </c>
      <c r="O9" s="6" t="n">
        <v>3.6725</v>
      </c>
    </row>
    <row r="10">
      <c r="A10" t="inlineStr">
        <is>
          <t>May-25</t>
        </is>
      </c>
      <c r="B10" s="6" t="n">
        <v>0.97933333</v>
      </c>
      <c r="C10" s="6" t="n">
        <v>1.00892857</v>
      </c>
      <c r="D10" s="6" t="n">
        <v>11.93420189</v>
      </c>
      <c r="E10" s="6" t="n">
        <v>0.01304629</v>
      </c>
      <c r="F10" s="6" t="n">
        <v>0.05301338</v>
      </c>
      <c r="G10" s="6" t="n">
        <v>4.89899383</v>
      </c>
      <c r="H10" s="6" t="n">
        <v>3.6725</v>
      </c>
      <c r="I10" s="6" t="n">
        <v>0.97933333</v>
      </c>
      <c r="J10" s="6" t="n">
        <v>1.00892857</v>
      </c>
      <c r="K10" s="6" t="n">
        <v>11.93975191</v>
      </c>
      <c r="L10" s="6" t="n">
        <v>0.01303295</v>
      </c>
      <c r="M10" s="6" t="n">
        <v>0.05309937</v>
      </c>
      <c r="N10" s="6" t="n">
        <v>4.9382797</v>
      </c>
      <c r="O10" s="6" t="n">
        <v>3.6725</v>
      </c>
    </row>
    <row r="11">
      <c r="A11" t="inlineStr">
        <is>
          <t>Jun-25</t>
        </is>
      </c>
      <c r="B11" s="6" t="n">
        <v>0.97933333</v>
      </c>
      <c r="C11" s="6" t="n">
        <v>1.00892857</v>
      </c>
      <c r="D11" s="6" t="n">
        <v>11.92761958</v>
      </c>
      <c r="E11" s="6" t="n">
        <v>0.01305819</v>
      </c>
      <c r="F11" s="6" t="n">
        <v>0.05298124</v>
      </c>
      <c r="G11" s="6" t="n">
        <v>4.96476723</v>
      </c>
      <c r="H11" s="6" t="n">
        <v>3.6725</v>
      </c>
      <c r="I11" s="6" t="n">
        <v>0.97933333</v>
      </c>
      <c r="J11" s="6" t="n">
        <v>1.00892857</v>
      </c>
      <c r="K11" s="6" t="n">
        <v>11.91548725</v>
      </c>
      <c r="L11" s="6" t="n">
        <v>0.01308344</v>
      </c>
      <c r="M11" s="6" t="n">
        <v>0.0528631</v>
      </c>
      <c r="N11" s="6" t="n">
        <v>4.99125477</v>
      </c>
      <c r="O11" s="6" t="n">
        <v>3.6725</v>
      </c>
    </row>
    <row r="12">
      <c r="A12" t="inlineStr">
        <is>
          <t>Jul-25</t>
        </is>
      </c>
      <c r="B12" s="6" t="n">
        <v>0.97933333</v>
      </c>
      <c r="C12" s="6" t="n">
        <v>1.00892857</v>
      </c>
      <c r="D12" s="6" t="n">
        <v>11.92753051</v>
      </c>
      <c r="E12" s="6" t="n">
        <v>0.01302489</v>
      </c>
      <c r="F12" s="6" t="n">
        <v>0.05312022</v>
      </c>
      <c r="G12" s="6" t="n">
        <v>4.97591769</v>
      </c>
      <c r="H12" s="6" t="n">
        <v>3.6725</v>
      </c>
      <c r="I12" s="6" t="n">
        <v>0.97933333</v>
      </c>
      <c r="J12" s="6" t="n">
        <v>1.00892857</v>
      </c>
      <c r="K12" s="6" t="n">
        <v>11.93957377</v>
      </c>
      <c r="L12" s="6" t="n">
        <v>0.01296635</v>
      </c>
      <c r="M12" s="6" t="n">
        <v>0.05337735</v>
      </c>
      <c r="N12" s="6" t="n">
        <v>4.96058062</v>
      </c>
      <c r="O12" s="6" t="n">
        <v>3.6725</v>
      </c>
    </row>
    <row r="13">
      <c r="A13" t="inlineStr">
        <is>
          <t>Aug-25</t>
        </is>
      </c>
      <c r="B13" s="6" t="n">
        <v>0.97933333</v>
      </c>
      <c r="C13" s="6" t="n">
        <v>1.00892857</v>
      </c>
      <c r="D13" s="6" t="n">
        <v>11.94503566</v>
      </c>
      <c r="E13" s="6" t="n">
        <v>0.01299334</v>
      </c>
      <c r="F13" s="6" t="n">
        <v>0.05320825</v>
      </c>
      <c r="G13" s="6" t="n">
        <v>4.9820881</v>
      </c>
      <c r="H13" s="6" t="n">
        <v>3.6725</v>
      </c>
      <c r="I13" s="6" t="n">
        <v>0.97933333</v>
      </c>
      <c r="J13" s="6" t="n">
        <v>1.00892857</v>
      </c>
      <c r="K13" s="6" t="n">
        <v>11.95049754</v>
      </c>
      <c r="L13" s="6" t="n">
        <v>0.01302033</v>
      </c>
      <c r="M13" s="6" t="n">
        <v>0.05303914</v>
      </c>
      <c r="N13" s="6" t="n">
        <v>5.00359557</v>
      </c>
      <c r="O13" s="6" t="n">
        <v>3.6725</v>
      </c>
    </row>
    <row r="14">
      <c r="A14" t="inlineStr">
        <is>
          <t>Sep-25</t>
        </is>
      </c>
      <c r="B14" s="6" t="n">
        <v>0.97933333</v>
      </c>
      <c r="C14" s="6" t="n">
        <v>1.00892857</v>
      </c>
      <c r="D14" s="6" t="n">
        <v>11.93990522</v>
      </c>
      <c r="E14" s="6" t="n">
        <v>0.01303221</v>
      </c>
      <c r="F14" s="6" t="n">
        <v>0.05328332</v>
      </c>
      <c r="G14" s="6" t="n">
        <v>4.97285714</v>
      </c>
      <c r="H14" s="6" t="n">
        <v>3.6725</v>
      </c>
      <c r="I14" s="6" t="n">
        <v>0.97933333</v>
      </c>
      <c r="J14" s="6" t="n">
        <v>1.00892857</v>
      </c>
      <c r="K14" s="6" t="n">
        <v>11.92931289</v>
      </c>
      <c r="L14" s="6" t="n">
        <v>0.0130441</v>
      </c>
      <c r="M14" s="6" t="n">
        <v>0.05352749</v>
      </c>
      <c r="N14" s="6" t="n">
        <v>4.94211871</v>
      </c>
      <c r="O14" s="6" t="n">
        <v>3.6725</v>
      </c>
    </row>
    <row r="15">
      <c r="A15" t="inlineStr">
        <is>
          <t>Oct-25</t>
        </is>
      </c>
      <c r="B15" s="6" t="n">
        <v>0.97933333</v>
      </c>
      <c r="C15" s="6" t="n">
        <v>1.00892857</v>
      </c>
      <c r="D15" s="6" t="n">
        <v>11.92930432</v>
      </c>
      <c r="E15" s="6" t="n">
        <v>0.01301958</v>
      </c>
      <c r="F15" s="6" t="n">
        <v>0.05363471</v>
      </c>
      <c r="G15" s="6" t="n">
        <v>4.94662432</v>
      </c>
      <c r="H15" s="6" t="n">
        <v>3.6725</v>
      </c>
      <c r="I15" s="6" t="n">
        <v>0.97933333</v>
      </c>
      <c r="J15" s="6" t="n">
        <v>1.00892857</v>
      </c>
      <c r="K15" s="6" t="n">
        <v>11.92929575</v>
      </c>
      <c r="L15" s="6" t="n">
        <v>0.01299506</v>
      </c>
      <c r="M15" s="6" t="n">
        <v>0.05374193</v>
      </c>
      <c r="N15" s="6" t="n">
        <v>4.95112994</v>
      </c>
      <c r="O15" s="6" t="n">
        <v>3.6725</v>
      </c>
    </row>
    <row r="16">
      <c r="A16" t="inlineStr">
        <is>
          <t>Nov-25</t>
        </is>
      </c>
      <c r="B16" s="6" t="n">
        <v>0.97933333</v>
      </c>
      <c r="C16" s="6" t="n">
        <v>1.00892857</v>
      </c>
      <c r="D16" s="6" t="n">
        <v>11.93237081</v>
      </c>
      <c r="E16" s="6" t="n">
        <v>0.01300025</v>
      </c>
      <c r="F16" s="6" t="n">
        <v>0.05378209</v>
      </c>
      <c r="G16" s="6" t="n">
        <v>4.94247241</v>
      </c>
      <c r="H16" s="6" t="n">
        <v>3.6725</v>
      </c>
      <c r="I16" s="6" t="n">
        <v>0.97933333</v>
      </c>
      <c r="J16" s="6" t="n">
        <v>1.00892857</v>
      </c>
      <c r="K16" s="6" t="n">
        <v>11.93544586</v>
      </c>
      <c r="L16" s="6" t="n">
        <v>0.01300545</v>
      </c>
      <c r="M16" s="6" t="n">
        <v>0.05382225</v>
      </c>
      <c r="N16" s="6" t="n">
        <v>4.93381488</v>
      </c>
      <c r="O16" s="6" t="n">
        <v>3.6725</v>
      </c>
    </row>
    <row r="17">
      <c r="A17" t="inlineStr">
        <is>
          <t>Dec-25</t>
        </is>
      </c>
      <c r="B17" s="6" t="n">
        <v>0.97933333</v>
      </c>
      <c r="C17" s="6" t="n">
        <v>1.00892857</v>
      </c>
      <c r="D17" s="6" t="n">
        <v>11.92696303</v>
      </c>
      <c r="E17" s="6" t="n">
        <v>0.01304389</v>
      </c>
      <c r="F17" s="6" t="n">
        <v>0.05360194</v>
      </c>
      <c r="G17" s="6" t="n">
        <v>4.93268499</v>
      </c>
      <c r="H17" s="6" t="n">
        <v>3.6725</v>
      </c>
      <c r="I17" s="6" t="n">
        <v>0.97933333</v>
      </c>
      <c r="J17" s="6" t="n">
        <v>1.00892857</v>
      </c>
      <c r="K17" s="6" t="n">
        <v>11.91848019</v>
      </c>
      <c r="L17" s="6" t="n">
        <v>0.01308234</v>
      </c>
      <c r="M17" s="6" t="n">
        <v>0.05338162</v>
      </c>
      <c r="N17" s="6" t="n">
        <v>4.9315551</v>
      </c>
      <c r="O17" s="6" t="n">
        <v>3.6725</v>
      </c>
    </row>
    <row r="18">
      <c r="A18" t="inlineStr">
        <is>
          <t>Jan-26</t>
        </is>
      </c>
      <c r="B18" s="6" t="n">
        <v>0.97933333</v>
      </c>
      <c r="C18" s="6" t="n">
        <v>1.00892857</v>
      </c>
      <c r="D18" s="6" t="n">
        <v>11.93796092</v>
      </c>
      <c r="E18" s="6" t="n">
        <v>0.01292596</v>
      </c>
      <c r="F18" s="6" t="n">
        <v>0.0531702</v>
      </c>
      <c r="G18" s="6" t="n">
        <v>4.88937827</v>
      </c>
      <c r="H18" s="6" t="n">
        <v>3.6725</v>
      </c>
      <c r="I18" s="6" t="n">
        <v>0.97933333</v>
      </c>
      <c r="J18" s="6" t="n">
        <v>1.00892857</v>
      </c>
      <c r="K18" s="6" t="n">
        <v>11.95744166</v>
      </c>
      <c r="L18" s="6" t="n">
        <v>0.01276958</v>
      </c>
      <c r="M18" s="6" t="n">
        <v>0.05295878</v>
      </c>
      <c r="N18" s="6" t="n">
        <v>4.84720145</v>
      </c>
      <c r="O18" s="6" t="n">
        <v>3.6725</v>
      </c>
    </row>
    <row r="19">
      <c r="A19" t="inlineStr">
        <is>
          <t>Feb-26</t>
        </is>
      </c>
      <c r="B19" s="6" t="n">
        <v>0.97933333</v>
      </c>
      <c r="C19" s="6" t="n">
        <v>1.00892857</v>
      </c>
      <c r="D19" s="6" t="n">
        <v>11.93854951</v>
      </c>
      <c r="E19" s="6" t="n">
        <v>0.01271918</v>
      </c>
      <c r="F19" s="6" t="n">
        <v>0.05248639</v>
      </c>
      <c r="G19" s="6" t="n">
        <v>4.81124733</v>
      </c>
      <c r="H19" s="6" t="n">
        <v>3.6725</v>
      </c>
      <c r="I19" s="6" t="n">
        <v>0.97933333</v>
      </c>
      <c r="J19" s="6" t="n">
        <v>1.00892857</v>
      </c>
      <c r="K19" s="6" t="n">
        <v>11.91965737</v>
      </c>
      <c r="L19" s="6" t="n">
        <v>0.01266878</v>
      </c>
      <c r="M19" s="6" t="n">
        <v>0.052014</v>
      </c>
      <c r="N19" s="6" t="n">
        <v>4.77529321</v>
      </c>
      <c r="O19" s="6" t="n">
        <v>3.6725</v>
      </c>
    </row>
    <row r="20">
      <c r="A20" t="inlineStr">
        <is>
          <t>Mar-26</t>
        </is>
      </c>
      <c r="B20" s="6" t="n">
        <v>0.97933333</v>
      </c>
      <c r="C20" s="6" t="n">
        <v>1.00892857</v>
      </c>
      <c r="D20" s="6" t="n">
        <v>11.923902</v>
      </c>
      <c r="E20" s="6" t="n">
        <v>0.01262113</v>
      </c>
      <c r="F20" s="6" t="n">
        <v>0.05230452</v>
      </c>
      <c r="G20" s="6" t="n">
        <v>4.74108305</v>
      </c>
      <c r="H20" s="6" t="n">
        <v>3.6725</v>
      </c>
      <c r="I20" s="6" t="n">
        <v>0.97933333</v>
      </c>
      <c r="J20" s="6" t="n">
        <v>1.00892857</v>
      </c>
      <c r="K20" s="6" t="n">
        <v>11.92814664</v>
      </c>
      <c r="L20" s="6" t="n">
        <v>0.01257348</v>
      </c>
      <c r="M20" s="6" t="n">
        <v>0.05259503</v>
      </c>
      <c r="N20" s="6" t="n">
        <v>4.70687289</v>
      </c>
      <c r="O20" s="6" t="n">
        <v>3.6725</v>
      </c>
    </row>
    <row r="21">
      <c r="A21" t="inlineStr">
        <is>
          <t>Apr-26</t>
        </is>
      </c>
      <c r="B21" s="6" t="n">
        <v>0.97933333</v>
      </c>
      <c r="C21" s="6" t="n">
        <v>1.00892857</v>
      </c>
      <c r="D21" s="6" t="n">
        <v>11.92591976</v>
      </c>
      <c r="E21" s="6" t="n">
        <v>0.01240324</v>
      </c>
      <c r="F21" s="6" t="n">
        <v>0.05129104</v>
      </c>
      <c r="G21" s="6" t="n">
        <v>4.68080882</v>
      </c>
      <c r="H21" s="6" t="n">
        <v>3.6725</v>
      </c>
      <c r="I21" s="6" t="n">
        <v>0.97933333</v>
      </c>
      <c r="J21" s="6" t="n">
        <v>1.00892857</v>
      </c>
      <c r="K21" s="6" t="n">
        <v>11.92369288</v>
      </c>
      <c r="L21" s="6" t="n">
        <v>0.01223299</v>
      </c>
      <c r="M21" s="6" t="n">
        <v>0.04998704</v>
      </c>
      <c r="N21" s="6" t="n">
        <v>4.65474475</v>
      </c>
      <c r="O21" s="6" t="n">
        <v>3.6725</v>
      </c>
    </row>
    <row r="22">
      <c r="A22" t="inlineStr">
        <is>
          <t>May-26</t>
        </is>
      </c>
      <c r="B22" s="6" t="n">
        <v>0.97933333</v>
      </c>
      <c r="C22" s="6" t="n">
        <v>1.00892857</v>
      </c>
      <c r="D22" s="6" t="n">
        <v>11.91647118</v>
      </c>
      <c r="E22" s="6" t="n">
        <v>0.01209834</v>
      </c>
      <c r="F22" s="6" t="n">
        <v>0.04967689</v>
      </c>
      <c r="G22" s="6" t="n">
        <v>4.63861512</v>
      </c>
      <c r="H22" s="6" t="n">
        <v>3.6725</v>
      </c>
      <c r="I22" s="6" t="n">
        <v>0.97933333</v>
      </c>
      <c r="J22" s="6" t="n">
        <v>1.00892857</v>
      </c>
      <c r="K22" s="6" t="n">
        <v>11.90924948</v>
      </c>
      <c r="L22" s="6" t="n">
        <v>0.01196369</v>
      </c>
      <c r="M22" s="6" t="n">
        <v>0.04936675</v>
      </c>
      <c r="N22" s="6" t="n">
        <v>4.62248549</v>
      </c>
      <c r="O22" s="6" t="n">
        <v>3.6725</v>
      </c>
    </row>
    <row r="23">
      <c r="A23" t="inlineStr">
        <is>
          <t>Jun-26</t>
        </is>
      </c>
      <c r="B23" s="6" t="n">
        <v>0.97933333</v>
      </c>
      <c r="C23" s="6" t="n">
        <v>1.00892857</v>
      </c>
      <c r="D23" s="6" t="n">
        <v>11.9059198</v>
      </c>
      <c r="E23" s="6" t="n">
        <v>0.01186959</v>
      </c>
      <c r="F23" s="6" t="n">
        <v>0.04818442</v>
      </c>
      <c r="G23" s="6" t="n">
        <v>4.58953036</v>
      </c>
      <c r="H23" s="6" t="n">
        <v>3.6725</v>
      </c>
      <c r="I23" s="6" t="n">
        <v>0.97933333</v>
      </c>
      <c r="J23" s="6" t="n">
        <v>1.00892857</v>
      </c>
      <c r="K23" s="6" t="n">
        <v>11.90259012</v>
      </c>
      <c r="L23" s="6" t="n">
        <v>0.01177549</v>
      </c>
      <c r="M23" s="6" t="n">
        <v>0.04700209</v>
      </c>
      <c r="N23" s="6" t="n">
        <v>4.55657523</v>
      </c>
      <c r="O23" s="6" t="n">
        <v>3.6725</v>
      </c>
    </row>
    <row r="24">
      <c r="A24" t="inlineStr">
        <is>
          <t>Jul-26</t>
        </is>
      </c>
      <c r="B24" s="6" t="n">
        <v>0.97933333</v>
      </c>
      <c r="C24" s="6" t="n">
        <v>1.00892857</v>
      </c>
      <c r="D24" s="6" t="n">
        <v>11.90532237</v>
      </c>
      <c r="E24" s="6" t="n">
        <v>0.01168337</v>
      </c>
      <c r="F24" s="6" t="n">
        <v>0.04659248</v>
      </c>
      <c r="G24" s="6" t="n">
        <v>4.52516917</v>
      </c>
      <c r="H24" s="6" t="n">
        <v>3.6725</v>
      </c>
      <c r="I24" s="6" t="n">
        <v>0.97933333</v>
      </c>
      <c r="J24" s="6" t="n">
        <v>1.00892857</v>
      </c>
      <c r="K24" s="6" t="n">
        <v>11.90805461</v>
      </c>
      <c r="L24" s="6" t="n">
        <v>0.01159125</v>
      </c>
      <c r="M24" s="6" t="n">
        <v>0.04618288</v>
      </c>
      <c r="N24" s="6" t="n">
        <v>4.4937631</v>
      </c>
      <c r="O24" s="6" t="n">
        <v>3.6725</v>
      </c>
    </row>
    <row r="25">
      <c r="A25" t="inlineStr">
        <is>
          <t>Aug-26</t>
        </is>
      </c>
      <c r="B25" s="6" t="n">
        <v>0.97933333</v>
      </c>
      <c r="C25" s="6" t="n">
        <v>1.00892857</v>
      </c>
      <c r="D25" s="6" t="n">
        <v>11.90034109</v>
      </c>
      <c r="E25" s="6" t="n">
        <v>0.01147019</v>
      </c>
      <c r="F25" s="6" t="n">
        <v>0.04566452</v>
      </c>
      <c r="G25" s="6" t="n">
        <v>4.4859189</v>
      </c>
      <c r="H25" s="6" t="n">
        <v>3.6725</v>
      </c>
      <c r="I25" s="6" t="n">
        <v>0.97933333</v>
      </c>
      <c r="J25" s="6" t="n">
        <v>1.00892857</v>
      </c>
      <c r="K25" s="6" t="n">
        <v>11.89262758</v>
      </c>
      <c r="L25" s="6" t="n">
        <v>0.01134914</v>
      </c>
      <c r="M25" s="6" t="n">
        <v>0.04514616</v>
      </c>
      <c r="N25" s="6" t="n">
        <v>4.47807471</v>
      </c>
      <c r="O25" s="6" t="n">
        <v>3.6725</v>
      </c>
    </row>
    <row r="26">
      <c r="A26" t="inlineStr">
        <is>
          <t>Sep-26</t>
        </is>
      </c>
      <c r="B26" s="6" t="n">
        <v>0.97933333</v>
      </c>
      <c r="C26" s="6" t="n">
        <v>1.00892857</v>
      </c>
      <c r="D26" s="6" t="n">
        <v>11.88721283</v>
      </c>
      <c r="E26" s="6" t="n">
        <v>0.01127716</v>
      </c>
      <c r="F26" s="6" t="n">
        <v>0.04430178</v>
      </c>
      <c r="G26" s="6" t="n">
        <v>4.47704553</v>
      </c>
      <c r="H26" s="6" t="n">
        <v>3.6725</v>
      </c>
      <c r="I26" s="6" t="n">
        <v>0.97933333</v>
      </c>
      <c r="J26" s="6" t="n">
        <v>1.00892857</v>
      </c>
      <c r="K26" s="6" t="n">
        <v>11.88179808</v>
      </c>
      <c r="L26" s="6" t="n">
        <v>0.01120518</v>
      </c>
      <c r="M26" s="6" t="n">
        <v>0.0434574</v>
      </c>
      <c r="N26" s="6" t="n">
        <v>4.47601636</v>
      </c>
      <c r="O26" s="6" t="n">
        <v>3.6725</v>
      </c>
    </row>
    <row r="27">
      <c r="A27" t="inlineStr">
        <is>
          <t>Oct-26</t>
        </is>
      </c>
      <c r="B27" s="6" t="n">
        <v>0.97933333</v>
      </c>
      <c r="C27" s="6" t="n">
        <v>1.00892857</v>
      </c>
      <c r="D27" s="6" t="n">
        <v>11.89344982</v>
      </c>
      <c r="E27" s="6" t="n">
        <v>0.0111291</v>
      </c>
      <c r="F27" s="6" t="n">
        <v>0.04334797</v>
      </c>
      <c r="G27" s="6" t="n">
        <v>4.45456141</v>
      </c>
      <c r="H27" s="6" t="n">
        <v>3.6725</v>
      </c>
      <c r="I27" s="6" t="n">
        <v>0.97933333</v>
      </c>
      <c r="J27" s="6" t="n">
        <v>1.00892857</v>
      </c>
      <c r="K27" s="6" t="n">
        <v>11.90510155</v>
      </c>
      <c r="L27" s="6" t="n">
        <v>0.01105303</v>
      </c>
      <c r="M27" s="6" t="n">
        <v>0.04323854</v>
      </c>
      <c r="N27" s="6" t="n">
        <v>4.43310646</v>
      </c>
      <c r="O27" s="6" t="n">
        <v>3.6725</v>
      </c>
    </row>
    <row r="28">
      <c r="A28" t="inlineStr">
        <is>
          <t>Nov-26</t>
        </is>
      </c>
      <c r="B28" s="6" t="n">
        <v>0.97933333</v>
      </c>
      <c r="C28" s="6" t="n">
        <v>1.00892857</v>
      </c>
      <c r="D28" s="6" t="n">
        <v>11.89013873</v>
      </c>
      <c r="E28" s="6" t="n">
        <v>0.01102605</v>
      </c>
      <c r="F28" s="6" t="n">
        <v>0.04306</v>
      </c>
      <c r="G28" s="6" t="n">
        <v>4.43464346</v>
      </c>
      <c r="H28" s="6" t="n">
        <v>3.6725</v>
      </c>
      <c r="I28" s="6" t="n">
        <v>0.97933333</v>
      </c>
      <c r="J28" s="6" t="n">
        <v>1.00892857</v>
      </c>
      <c r="K28" s="6" t="n">
        <v>11.87517591</v>
      </c>
      <c r="L28" s="6" t="n">
        <v>0.01099907</v>
      </c>
      <c r="M28" s="6" t="n">
        <v>0.04288146</v>
      </c>
      <c r="N28" s="6" t="n">
        <v>4.43618046</v>
      </c>
      <c r="O28" s="6" t="n">
        <v>3.6725</v>
      </c>
    </row>
    <row r="29">
      <c r="A29" t="inlineStr">
        <is>
          <t>Dec-26</t>
        </is>
      </c>
      <c r="B29" s="6" t="n">
        <v>0.97933333</v>
      </c>
      <c r="C29" s="6" t="n">
        <v>1.00892857</v>
      </c>
      <c r="D29" s="6" t="n">
        <v>11.88371681</v>
      </c>
      <c r="E29" s="6" t="n">
        <v>0.01098597</v>
      </c>
      <c r="F29" s="6" t="n">
        <v>0.04286474</v>
      </c>
      <c r="G29" s="6" t="n">
        <v>4.41864633</v>
      </c>
      <c r="H29" s="6" t="n">
        <v>3.6725</v>
      </c>
      <c r="I29" s="6" t="n">
        <v>0.97933333</v>
      </c>
      <c r="J29" s="6" t="n">
        <v>1.00892857</v>
      </c>
      <c r="K29" s="6" t="n">
        <v>11.89225771</v>
      </c>
      <c r="L29" s="6" t="n">
        <v>0.01097287</v>
      </c>
      <c r="M29" s="6" t="n">
        <v>0.04284802</v>
      </c>
      <c r="N29" s="6" t="n">
        <v>4.40111221</v>
      </c>
      <c r="O29" s="6" t="n">
        <v>3.6725</v>
      </c>
    </row>
    <row r="31">
      <c r="A31" s="3" t="inlineStr">
        <is>
          <t>Budget rate FY2026</t>
        </is>
      </c>
      <c r="B31" s="6" t="n">
        <v>0.97933333</v>
      </c>
      <c r="C31" s="6" t="n">
        <v>1.00892857</v>
      </c>
      <c r="D31" s="6" t="n">
        <v>11.91848019</v>
      </c>
      <c r="E31" s="6" t="n">
        <v>0.01308234</v>
      </c>
      <c r="F31" s="6" t="n">
        <v>0.05338162</v>
      </c>
      <c r="G31" s="6" t="n">
        <v>4.9315551</v>
      </c>
      <c r="H31" s="6" t="n">
        <v>3.6725</v>
      </c>
    </row>
    <row r="32">
      <c r="A32" s="3" t="inlineStr">
        <is>
          <t>Historical (share capital)</t>
        </is>
      </c>
      <c r="B32" s="6" t="n">
        <v>0.9793333333333333</v>
      </c>
      <c r="C32" s="6" t="n">
        <v>1.008928571428571</v>
      </c>
      <c r="D32" s="6" t="n">
        <v>12.08</v>
      </c>
      <c r="E32" s="6" t="n">
        <v>0.03010245901639344</v>
      </c>
      <c r="F32" s="6" t="n">
        <v>0.04173295454545455</v>
      </c>
      <c r="G32" s="6" t="n">
        <v>4.85</v>
      </c>
      <c r="H32" s="6" t="n">
        <v>3.6725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9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Entity trial balances in local currency</t>
        </is>
      </c>
    </row>
    <row r="2">
      <c r="A2" s="2" t="inlineStr">
        <is>
          <t>P&amp;L: Jan-Sep 2026 year to date. Balance sheet: 30 September 2026. Profit sign: income +, costs -.</t>
        </is>
      </c>
    </row>
    <row r="4">
      <c r="A4" s="5" t="inlineStr">
        <is>
          <t>Account</t>
        </is>
      </c>
      <c r="B4" s="5" t="inlineStr">
        <is>
          <t>Name</t>
        </is>
      </c>
      <c r="C4" s="5" t="inlineStr">
        <is>
          <t>Statement</t>
        </is>
      </c>
      <c r="D4" s="5" t="inlineStr">
        <is>
          <t>UAE (AED)</t>
        </is>
      </c>
      <c r="E4" s="5" t="inlineStr">
        <is>
          <t>KSA (SAR)</t>
        </is>
      </c>
      <c r="F4" s="5" t="inlineStr">
        <is>
          <t>Qatar (QAR)</t>
        </is>
      </c>
      <c r="G4" s="5" t="inlineStr">
        <is>
          <t>Kuwait (KWD)</t>
        </is>
      </c>
      <c r="H4" s="5" t="inlineStr">
        <is>
          <t>Pakistan (PKR)</t>
        </is>
      </c>
      <c r="I4" s="5" t="inlineStr">
        <is>
          <t>Afghanistan (AFN)</t>
        </is>
      </c>
      <c r="J4" s="5" t="inlineStr">
        <is>
          <t>UK (GBP)</t>
        </is>
      </c>
      <c r="K4" s="5" t="inlineStr">
        <is>
          <t>USA (USD)</t>
        </is>
      </c>
      <c r="L4" s="5" t="inlineStr">
        <is>
          <t>Head office (AED)</t>
        </is>
      </c>
    </row>
    <row r="5">
      <c r="A5" t="n">
        <v>4000</v>
      </c>
      <c r="B5" t="inlineStr">
        <is>
          <t>Consultation revenue</t>
        </is>
      </c>
      <c r="C5" t="inlineStr">
        <is>
          <t>P&amp;L</t>
        </is>
      </c>
      <c r="D5" s="7" t="n">
        <v>39833952</v>
      </c>
      <c r="E5" s="7" t="n">
        <v>27021367</v>
      </c>
      <c r="F5" s="7" t="n">
        <v>13895614</v>
      </c>
      <c r="G5" s="7" t="n">
        <v>1295043</v>
      </c>
      <c r="H5" s="7" t="n">
        <v>294434962</v>
      </c>
      <c r="I5" s="7" t="n">
        <v>12190891</v>
      </c>
      <c r="J5" s="7" t="n">
        <v>5463875</v>
      </c>
      <c r="K5" s="7" t="n">
        <v>10568757</v>
      </c>
      <c r="L5" s="7" t="n">
        <v>0</v>
      </c>
    </row>
    <row r="6">
      <c r="A6" t="n">
        <v>4100</v>
      </c>
      <c r="B6" t="inlineStr">
        <is>
          <t>Procedures revenue</t>
        </is>
      </c>
      <c r="C6" t="inlineStr">
        <is>
          <t>P&amp;L</t>
        </is>
      </c>
      <c r="D6" s="7" t="n">
        <v>31579079</v>
      </c>
      <c r="E6" s="7" t="n">
        <v>22346169</v>
      </c>
      <c r="F6" s="7" t="n">
        <v>11446100</v>
      </c>
      <c r="G6" s="7" t="n">
        <v>1022366</v>
      </c>
      <c r="H6" s="7" t="n">
        <v>201871074</v>
      </c>
      <c r="I6" s="7" t="n">
        <v>6913207</v>
      </c>
      <c r="J6" s="7" t="n">
        <v>4224711</v>
      </c>
      <c r="K6" s="7" t="n">
        <v>8398985</v>
      </c>
      <c r="L6" s="7" t="n">
        <v>0</v>
      </c>
    </row>
    <row r="7">
      <c r="A7" t="n">
        <v>4200</v>
      </c>
      <c r="B7" t="inlineStr">
        <is>
          <t>Diagnostics revenue</t>
        </is>
      </c>
      <c r="C7" t="inlineStr">
        <is>
          <t>P&amp;L</t>
        </is>
      </c>
      <c r="D7" s="7" t="n">
        <v>8654493</v>
      </c>
      <c r="E7" s="7" t="n">
        <v>5058412</v>
      </c>
      <c r="F7" s="7" t="n">
        <v>2896589</v>
      </c>
      <c r="G7" s="7" t="n">
        <v>278594</v>
      </c>
      <c r="H7" s="7" t="n">
        <v>51972028</v>
      </c>
      <c r="I7" s="7" t="n">
        <v>2624507</v>
      </c>
      <c r="J7" s="7" t="n">
        <v>1190128</v>
      </c>
      <c r="K7" s="7" t="n">
        <v>2286049</v>
      </c>
      <c r="L7" s="7" t="n">
        <v>0</v>
      </c>
    </row>
    <row r="8">
      <c r="A8" t="n">
        <v>4300</v>
      </c>
      <c r="B8" t="inlineStr">
        <is>
          <t>Pharmacy revenue</t>
        </is>
      </c>
      <c r="C8" t="inlineStr">
        <is>
          <t>P&amp;L</t>
        </is>
      </c>
      <c r="D8" s="7" t="n">
        <v>7837703</v>
      </c>
      <c r="E8" s="7" t="n">
        <v>5505851</v>
      </c>
      <c r="F8" s="7" t="n">
        <v>2770658</v>
      </c>
      <c r="G8" s="7" t="n">
        <v>255831</v>
      </c>
      <c r="H8" s="7" t="n">
        <v>59376417</v>
      </c>
      <c r="I8" s="7" t="n">
        <v>2209863</v>
      </c>
      <c r="J8" s="7" t="n">
        <v>1079226</v>
      </c>
      <c r="K8" s="7" t="n">
        <v>2136771</v>
      </c>
      <c r="L8" s="7" t="n">
        <v>0</v>
      </c>
    </row>
    <row r="9">
      <c r="A9" t="n">
        <v>4900</v>
      </c>
      <c r="B9" t="inlineStr">
        <is>
          <t>Contractual discounts</t>
        </is>
      </c>
      <c r="C9" t="inlineStr">
        <is>
          <t>P&amp;L</t>
        </is>
      </c>
      <c r="D9" s="7" t="n">
        <v>-10496596</v>
      </c>
      <c r="E9" s="7" t="n">
        <v>-7317274</v>
      </c>
      <c r="F9" s="7" t="n">
        <v>-3503736</v>
      </c>
      <c r="G9" s="7" t="n">
        <v>-293651</v>
      </c>
      <c r="H9" s="7" t="n">
        <v>-41565340</v>
      </c>
      <c r="I9" s="7" t="n">
        <v>-1555579</v>
      </c>
      <c r="J9" s="7" t="n">
        <v>-1406242</v>
      </c>
      <c r="K9" s="7" t="n">
        <v>-8045627</v>
      </c>
      <c r="L9" s="7" t="n">
        <v>0</v>
      </c>
    </row>
    <row r="10">
      <c r="A10" t="n">
        <v>5000</v>
      </c>
      <c r="B10" t="inlineStr">
        <is>
          <t>Doctor salaries</t>
        </is>
      </c>
      <c r="C10" t="inlineStr">
        <is>
          <t>P&amp;L</t>
        </is>
      </c>
      <c r="D10" s="7" t="n">
        <v>-23291963</v>
      </c>
      <c r="E10" s="7" t="n">
        <v>-15814145</v>
      </c>
      <c r="F10" s="7" t="n">
        <v>-10178993</v>
      </c>
      <c r="G10" s="7" t="n">
        <v>-822335</v>
      </c>
      <c r="H10" s="7" t="n">
        <v>-115788554</v>
      </c>
      <c r="I10" s="7" t="n">
        <v>-6547693</v>
      </c>
      <c r="J10" s="7" t="n">
        <v>-3533741</v>
      </c>
      <c r="K10" s="7" t="n">
        <v>-5985084</v>
      </c>
      <c r="L10" s="7" t="n">
        <v>0</v>
      </c>
    </row>
    <row r="11">
      <c r="A11" t="n">
        <v>5100</v>
      </c>
      <c r="B11" t="inlineStr">
        <is>
          <t>Nursing &amp; clinical staff</t>
        </is>
      </c>
      <c r="C11" t="inlineStr">
        <is>
          <t>P&amp;L</t>
        </is>
      </c>
      <c r="D11" s="7" t="n">
        <v>-6673833</v>
      </c>
      <c r="E11" s="7" t="n">
        <v>-4561309</v>
      </c>
      <c r="F11" s="7" t="n">
        <v>-2902576</v>
      </c>
      <c r="G11" s="7" t="n">
        <v>-235024</v>
      </c>
      <c r="H11" s="7" t="n">
        <v>-35227947</v>
      </c>
      <c r="I11" s="7" t="n">
        <v>-1843455</v>
      </c>
      <c r="J11" s="7" t="n">
        <v>-1005220</v>
      </c>
      <c r="K11" s="7" t="n">
        <v>-1760673</v>
      </c>
      <c r="L11" s="7" t="n">
        <v>0</v>
      </c>
    </row>
    <row r="12">
      <c r="A12" t="n">
        <v>5200</v>
      </c>
      <c r="B12" t="inlineStr">
        <is>
          <t>Medical consumables</t>
        </is>
      </c>
      <c r="C12" t="inlineStr">
        <is>
          <t>P&amp;L</t>
        </is>
      </c>
      <c r="D12" s="7" t="n">
        <v>-6226733</v>
      </c>
      <c r="E12" s="7" t="n">
        <v>-4236298</v>
      </c>
      <c r="F12" s="7" t="n">
        <v>-2246990</v>
      </c>
      <c r="G12" s="7" t="n">
        <v>-204952</v>
      </c>
      <c r="H12" s="7" t="n">
        <v>-43158166</v>
      </c>
      <c r="I12" s="7" t="n">
        <v>-1710793</v>
      </c>
      <c r="J12" s="7" t="n">
        <v>-849553</v>
      </c>
      <c r="K12" s="7" t="n">
        <v>-1238908</v>
      </c>
      <c r="L12" s="7" t="n">
        <v>0</v>
      </c>
    </row>
    <row r="13">
      <c r="A13" t="n">
        <v>5300</v>
      </c>
      <c r="B13" t="inlineStr">
        <is>
          <t>Pharmacy cost of goods</t>
        </is>
      </c>
      <c r="C13" t="inlineStr">
        <is>
          <t>P&amp;L</t>
        </is>
      </c>
      <c r="D13" s="7" t="n">
        <v>-4693615</v>
      </c>
      <c r="E13" s="7" t="n">
        <v>-3287316</v>
      </c>
      <c r="F13" s="7" t="n">
        <v>-1667143</v>
      </c>
      <c r="G13" s="7" t="n">
        <v>-155318</v>
      </c>
      <c r="H13" s="7" t="n">
        <v>-37670506</v>
      </c>
      <c r="I13" s="7" t="n">
        <v>-1393884</v>
      </c>
      <c r="J13" s="7" t="n">
        <v>-641641</v>
      </c>
      <c r="K13" s="7" t="n">
        <v>-946301</v>
      </c>
      <c r="L13" s="7" t="n">
        <v>0</v>
      </c>
    </row>
    <row r="14">
      <c r="A14" t="n">
        <v>6000</v>
      </c>
      <c r="B14" t="inlineStr">
        <is>
          <t>Rent &amp; facility</t>
        </is>
      </c>
      <c r="C14" t="inlineStr">
        <is>
          <t>P&amp;L</t>
        </is>
      </c>
      <c r="D14" s="7" t="n">
        <v>-6303600</v>
      </c>
      <c r="E14" s="7" t="n">
        <v>-3786249</v>
      </c>
      <c r="F14" s="7" t="n">
        <v>-3032028</v>
      </c>
      <c r="G14" s="7" t="n">
        <v>-202035</v>
      </c>
      <c r="H14" s="7" t="n">
        <v>-42582818</v>
      </c>
      <c r="I14" s="7" t="n">
        <v>-2513221</v>
      </c>
      <c r="J14" s="7" t="n">
        <v>-1015291</v>
      </c>
      <c r="K14" s="7" t="n">
        <v>-1192117</v>
      </c>
      <c r="L14" s="7" t="n">
        <v>0</v>
      </c>
    </row>
    <row r="15">
      <c r="A15" t="n">
        <v>6100</v>
      </c>
      <c r="B15" t="inlineStr">
        <is>
          <t>Admin &amp; front-office staff</t>
        </is>
      </c>
      <c r="C15" t="inlineStr">
        <is>
          <t>P&amp;L</t>
        </is>
      </c>
      <c r="D15" s="7" t="n">
        <v>-4422600</v>
      </c>
      <c r="E15" s="7" t="n">
        <v>-3162276</v>
      </c>
      <c r="F15" s="7" t="n">
        <v>-1997173</v>
      </c>
      <c r="G15" s="7" t="n">
        <v>-161982</v>
      </c>
      <c r="H15" s="7" t="n">
        <v>-29276053</v>
      </c>
      <c r="I15" s="7" t="n">
        <v>-1371790</v>
      </c>
      <c r="J15" s="7" t="n">
        <v>-627675</v>
      </c>
      <c r="K15" s="7" t="n">
        <v>-1097029</v>
      </c>
      <c r="L15" s="7" t="n">
        <v>0</v>
      </c>
    </row>
    <row r="16">
      <c r="A16" t="n">
        <v>6200</v>
      </c>
      <c r="B16" t="inlineStr">
        <is>
          <t>Marketing</t>
        </is>
      </c>
      <c r="C16" t="inlineStr">
        <is>
          <t>P&amp;L</t>
        </is>
      </c>
      <c r="D16" s="7" t="n">
        <v>-1676653</v>
      </c>
      <c r="E16" s="7" t="n">
        <v>-1173049</v>
      </c>
      <c r="F16" s="7" t="n">
        <v>-598674</v>
      </c>
      <c r="G16" s="7" t="n">
        <v>-56333</v>
      </c>
      <c r="H16" s="7" t="n">
        <v>-12669808</v>
      </c>
      <c r="I16" s="7" t="n">
        <v>-487816</v>
      </c>
      <c r="J16" s="7" t="n">
        <v>-253055</v>
      </c>
      <c r="K16" s="7" t="n">
        <v>-336975</v>
      </c>
      <c r="L16" s="7" t="n">
        <v>0</v>
      </c>
    </row>
    <row r="17">
      <c r="A17" t="n">
        <v>6300</v>
      </c>
      <c r="B17" t="inlineStr">
        <is>
          <t>IT &amp; systems</t>
        </is>
      </c>
      <c r="C17" t="inlineStr">
        <is>
          <t>P&amp;L</t>
        </is>
      </c>
      <c r="D17" s="7" t="n">
        <v>-1008000</v>
      </c>
      <c r="E17" s="7" t="n">
        <v>-752407</v>
      </c>
      <c r="F17" s="7" t="n">
        <v>-523922</v>
      </c>
      <c r="G17" s="7" t="n">
        <v>-43291</v>
      </c>
      <c r="H17" s="7" t="n">
        <v>-13708441</v>
      </c>
      <c r="I17" s="7" t="n">
        <v>-1353993</v>
      </c>
      <c r="J17" s="7" t="n">
        <v>-143249</v>
      </c>
      <c r="K17" s="7" t="n">
        <v>-210379</v>
      </c>
      <c r="L17" s="7" t="n">
        <v>0</v>
      </c>
    </row>
    <row r="18">
      <c r="A18" t="n">
        <v>6400</v>
      </c>
      <c r="B18" t="inlineStr">
        <is>
          <t>Utilities &amp; maintenance</t>
        </is>
      </c>
      <c r="C18" t="inlineStr">
        <is>
          <t>P&amp;L</t>
        </is>
      </c>
      <c r="D18" s="7" t="n">
        <v>-1122000</v>
      </c>
      <c r="E18" s="7" t="n">
        <v>-820580</v>
      </c>
      <c r="F18" s="7" t="n">
        <v>-486326</v>
      </c>
      <c r="G18" s="7" t="n">
        <v>-36863</v>
      </c>
      <c r="H18" s="7" t="n">
        <v>-8854980</v>
      </c>
      <c r="I18" s="7" t="n">
        <v>-446445</v>
      </c>
      <c r="J18" s="7" t="n">
        <v>-89457</v>
      </c>
      <c r="K18" s="7" t="n">
        <v>-181840</v>
      </c>
      <c r="L18" s="7" t="n">
        <v>0</v>
      </c>
    </row>
    <row r="19">
      <c r="A19" t="n">
        <v>6600</v>
      </c>
      <c r="B19" t="inlineStr">
        <is>
          <t>Claim denials written off</t>
        </is>
      </c>
      <c r="C19" t="inlineStr">
        <is>
          <t>P&amp;L</t>
        </is>
      </c>
      <c r="D19" s="7" t="n">
        <v>-2350741</v>
      </c>
      <c r="E19" s="7" t="n">
        <v>-1800977</v>
      </c>
      <c r="F19" s="7" t="n">
        <v>-789939</v>
      </c>
      <c r="G19" s="7" t="n">
        <v>-66133</v>
      </c>
      <c r="H19" s="7" t="n">
        <v>-5775161</v>
      </c>
      <c r="I19" s="7" t="n">
        <v>-113493</v>
      </c>
      <c r="J19" s="7" t="n">
        <v>-120412</v>
      </c>
      <c r="K19" s="7" t="n">
        <v>-674487</v>
      </c>
      <c r="L19" s="7" t="n">
        <v>0</v>
      </c>
    </row>
    <row r="20">
      <c r="A20" t="n">
        <v>6700</v>
      </c>
      <c r="B20" t="inlineStr">
        <is>
          <t>Other operating costs</t>
        </is>
      </c>
      <c r="C20" t="inlineStr">
        <is>
          <t>P&amp;L</t>
        </is>
      </c>
      <c r="D20" s="7" t="n">
        <v>-1212493</v>
      </c>
      <c r="E20" s="7" t="n">
        <v>-841434</v>
      </c>
      <c r="F20" s="7" t="n">
        <v>-493477</v>
      </c>
      <c r="G20" s="7" t="n">
        <v>-43551</v>
      </c>
      <c r="H20" s="7" t="n">
        <v>-8200434</v>
      </c>
      <c r="I20" s="7" t="n">
        <v>-379183</v>
      </c>
      <c r="J20" s="7" t="n">
        <v>-177821</v>
      </c>
      <c r="K20" s="7" t="n">
        <v>-277501</v>
      </c>
      <c r="L20" s="7" t="n">
        <v>0</v>
      </c>
    </row>
    <row r="21">
      <c r="A21" t="n">
        <v>6800</v>
      </c>
      <c r="B21" t="inlineStr">
        <is>
          <t>Head office staff</t>
        </is>
      </c>
      <c r="C21" t="inlineStr">
        <is>
          <t>P&amp;L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-13886417</v>
      </c>
    </row>
    <row r="22">
      <c r="A22" t="n">
        <v>6810</v>
      </c>
      <c r="B22" t="inlineStr">
        <is>
          <t>Head office other costs</t>
        </is>
      </c>
      <c r="C22" t="inlineStr">
        <is>
          <t>P&amp;L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-3762771</v>
      </c>
    </row>
    <row r="23">
      <c r="A23" t="n">
        <v>4800</v>
      </c>
      <c r="B23" t="inlineStr">
        <is>
          <t>Management fee income (intercompany)</t>
        </is>
      </c>
      <c r="C23" t="inlineStr">
        <is>
          <t>P&amp;L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12018850</v>
      </c>
    </row>
    <row r="24">
      <c r="A24" t="n">
        <v>6500</v>
      </c>
      <c r="B24" t="inlineStr">
        <is>
          <t>Management fee expense (intercompany)</t>
        </is>
      </c>
      <c r="C24" t="inlineStr">
        <is>
          <t>P&amp;L</t>
        </is>
      </c>
      <c r="D24" s="7" t="n">
        <v>-3096345</v>
      </c>
      <c r="E24" s="7" t="n">
        <v>-2104581</v>
      </c>
      <c r="F24" s="7" t="n">
        <v>-1100209</v>
      </c>
      <c r="G24" s="7" t="n">
        <v>-102327</v>
      </c>
      <c r="H24" s="7" t="n">
        <v>-22643566</v>
      </c>
      <c r="I24" s="7" t="n">
        <v>-895316</v>
      </c>
      <c r="J24" s="7" t="n">
        <v>-422068</v>
      </c>
      <c r="K24" s="7" t="n">
        <v>-613797</v>
      </c>
      <c r="L24" s="7" t="n">
        <v>0</v>
      </c>
    </row>
    <row r="25">
      <c r="A25" t="n">
        <v>7000</v>
      </c>
      <c r="B25" t="inlineStr">
        <is>
          <t>Depreciation &amp; amortisation</t>
        </is>
      </c>
      <c r="C25" t="inlineStr">
        <is>
          <t>P&amp;L</t>
        </is>
      </c>
      <c r="D25" s="7" t="n">
        <v>-3850940</v>
      </c>
      <c r="E25" s="7" t="n">
        <v>-3476394</v>
      </c>
      <c r="F25" s="7" t="n">
        <v>-2015376</v>
      </c>
      <c r="G25" s="7" t="n">
        <v>-157919</v>
      </c>
      <c r="H25" s="7" t="n">
        <v>-49387004</v>
      </c>
      <c r="I25" s="7" t="n">
        <v>-2534313</v>
      </c>
      <c r="J25" s="7" t="n">
        <v>-422941</v>
      </c>
      <c r="K25" s="7" t="n">
        <v>-833950</v>
      </c>
      <c r="L25" s="7" t="n">
        <v>-360000</v>
      </c>
    </row>
    <row r="26">
      <c r="A26" t="n">
        <v>7100</v>
      </c>
      <c r="B26" t="inlineStr">
        <is>
          <t>Finance costs</t>
        </is>
      </c>
      <c r="C26" t="inlineStr">
        <is>
          <t>P&amp;L</t>
        </is>
      </c>
      <c r="D26" s="7" t="n">
        <v>0</v>
      </c>
      <c r="E26" s="7" t="n">
        <v>-246766</v>
      </c>
      <c r="F26" s="7" t="n">
        <v>0</v>
      </c>
      <c r="G26" s="7" t="n">
        <v>0</v>
      </c>
      <c r="H26" s="7" t="n">
        <v>-18662861</v>
      </c>
      <c r="I26" s="7" t="n">
        <v>0</v>
      </c>
      <c r="J26" s="7" t="n">
        <v>-200733</v>
      </c>
      <c r="K26" s="7" t="n">
        <v>-224643</v>
      </c>
      <c r="L26" s="7" t="n">
        <v>0</v>
      </c>
    </row>
    <row r="27">
      <c r="A27" t="n">
        <v>7200</v>
      </c>
      <c r="B27" t="inlineStr">
        <is>
          <t>Income tax</t>
        </is>
      </c>
      <c r="C27" t="inlineStr">
        <is>
          <t>P&amp;L</t>
        </is>
      </c>
      <c r="D27" s="7" t="n">
        <v>-1033120</v>
      </c>
      <c r="E27" s="7" t="n">
        <v>-1310149</v>
      </c>
      <c r="F27" s="7" t="n">
        <v>-39288</v>
      </c>
      <c r="G27" s="7" t="n">
        <v>-40518</v>
      </c>
      <c r="H27" s="7" t="n">
        <v>-35520024</v>
      </c>
      <c r="I27" s="7" t="n">
        <v>-171166</v>
      </c>
      <c r="J27" s="7" t="n">
        <v>-262210</v>
      </c>
      <c r="K27" s="7" t="n">
        <v>-14958</v>
      </c>
      <c r="L27" s="7" t="n">
        <v>0</v>
      </c>
    </row>
    <row r="28">
      <c r="A28" t="n">
        <v>1000</v>
      </c>
      <c r="B28" t="inlineStr">
        <is>
          <t>Cash &amp; bank</t>
        </is>
      </c>
      <c r="C28" t="inlineStr">
        <is>
          <t>BS</t>
        </is>
      </c>
      <c r="D28" s="7" t="n">
        <v>36669476</v>
      </c>
      <c r="E28" s="7" t="n">
        <v>16605177</v>
      </c>
      <c r="F28" s="7" t="n">
        <v>6604097</v>
      </c>
      <c r="G28" s="7" t="n">
        <v>1081109</v>
      </c>
      <c r="H28" s="7" t="n">
        <v>233258612</v>
      </c>
      <c r="I28" s="7" t="n">
        <v>8579449</v>
      </c>
      <c r="J28" s="7" t="n">
        <v>2221353</v>
      </c>
      <c r="K28" s="7" t="n">
        <v>1084907</v>
      </c>
      <c r="L28" s="7" t="n">
        <v>8595208</v>
      </c>
    </row>
    <row r="29">
      <c r="A29" t="n">
        <v>1100</v>
      </c>
      <c r="B29" t="inlineStr">
        <is>
          <t>Insurance receivables</t>
        </is>
      </c>
      <c r="C29" t="inlineStr">
        <is>
          <t>BS</t>
        </is>
      </c>
      <c r="D29" s="7" t="n">
        <v>16611029</v>
      </c>
      <c r="E29" s="7" t="n">
        <v>15584178</v>
      </c>
      <c r="F29" s="7" t="n">
        <v>5813724</v>
      </c>
      <c r="G29" s="7" t="n">
        <v>538508</v>
      </c>
      <c r="H29" s="7" t="n">
        <v>48080859</v>
      </c>
      <c r="I29" s="7" t="n">
        <v>1357151</v>
      </c>
      <c r="J29" s="7" t="n">
        <v>1363673</v>
      </c>
      <c r="K29" s="7" t="n">
        <v>2617675</v>
      </c>
      <c r="L29" s="7" t="n">
        <v>0</v>
      </c>
    </row>
    <row r="30">
      <c r="A30" t="n">
        <v>1200</v>
      </c>
      <c r="B30" t="inlineStr">
        <is>
          <t>Inventory (medical &amp; pharmacy)</t>
        </is>
      </c>
      <c r="C30" t="inlineStr">
        <is>
          <t>BS</t>
        </is>
      </c>
      <c r="D30" s="7" t="n">
        <v>1922895</v>
      </c>
      <c r="E30" s="7" t="n">
        <v>1368985</v>
      </c>
      <c r="F30" s="7" t="n">
        <v>712585</v>
      </c>
      <c r="G30" s="7" t="n">
        <v>63731</v>
      </c>
      <c r="H30" s="7" t="n">
        <v>14121714</v>
      </c>
      <c r="I30" s="7" t="n">
        <v>570242</v>
      </c>
      <c r="J30" s="7" t="n">
        <v>285963</v>
      </c>
      <c r="K30" s="7" t="n">
        <v>361711</v>
      </c>
      <c r="L30" s="7" t="n">
        <v>0</v>
      </c>
    </row>
    <row r="31">
      <c r="A31" t="n">
        <v>1300</v>
      </c>
      <c r="B31" t="inlineStr">
        <is>
          <t>Prepayments &amp; deposits</t>
        </is>
      </c>
      <c r="C31" t="inlineStr">
        <is>
          <t>BS</t>
        </is>
      </c>
      <c r="D31" s="7" t="n">
        <v>700400</v>
      </c>
      <c r="E31" s="7" t="n">
        <v>420694</v>
      </c>
      <c r="F31" s="7" t="n">
        <v>336892</v>
      </c>
      <c r="G31" s="7" t="n">
        <v>22448</v>
      </c>
      <c r="H31" s="7" t="n">
        <v>4731424</v>
      </c>
      <c r="I31" s="7" t="n">
        <v>279247</v>
      </c>
      <c r="J31" s="7" t="n">
        <v>112810</v>
      </c>
      <c r="K31" s="7" t="n">
        <v>132457</v>
      </c>
      <c r="L31" s="7" t="n">
        <v>0</v>
      </c>
    </row>
    <row r="32">
      <c r="A32" t="n">
        <v>1400</v>
      </c>
      <c r="B32" t="inlineStr">
        <is>
          <t>Property, plant &amp; equipment</t>
        </is>
      </c>
      <c r="C32" t="inlineStr">
        <is>
          <t>BS</t>
        </is>
      </c>
      <c r="D32" s="7" t="n">
        <v>12544558</v>
      </c>
      <c r="E32" s="7" t="n">
        <v>17780785</v>
      </c>
      <c r="F32" s="7" t="n">
        <v>12393396</v>
      </c>
      <c r="G32" s="7" t="n">
        <v>836333</v>
      </c>
      <c r="H32" s="7" t="n">
        <v>198234067</v>
      </c>
      <c r="I32" s="7" t="n">
        <v>19322129</v>
      </c>
      <c r="J32" s="7" t="n">
        <v>2671113</v>
      </c>
      <c r="K32" s="7" t="n">
        <v>4473213</v>
      </c>
      <c r="L32" s="7" t="n">
        <v>360000</v>
      </c>
    </row>
    <row r="33">
      <c r="A33" t="n">
        <v>1500</v>
      </c>
      <c r="B33" t="inlineStr">
        <is>
          <t>Investment in subsidiaries</t>
        </is>
      </c>
      <c r="C33" t="inlineStr">
        <is>
          <t>BS</t>
        </is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131721982</v>
      </c>
    </row>
    <row r="34">
      <c r="A34" t="n">
        <v>2000</v>
      </c>
      <c r="B34" t="inlineStr">
        <is>
          <t>Trade payables</t>
        </is>
      </c>
      <c r="C34" t="inlineStr">
        <is>
          <t>BS</t>
        </is>
      </c>
      <c r="D34" s="7" t="n">
        <v>2434794</v>
      </c>
      <c r="E34" s="7" t="n">
        <v>1745863</v>
      </c>
      <c r="F34" s="7" t="n">
        <v>953514</v>
      </c>
      <c r="G34" s="7" t="n">
        <v>82931</v>
      </c>
      <c r="H34" s="7" t="n">
        <v>18698394</v>
      </c>
      <c r="I34" s="7" t="n">
        <v>881832</v>
      </c>
      <c r="J34" s="7" t="n">
        <v>346612</v>
      </c>
      <c r="K34" s="7" t="n">
        <v>461823</v>
      </c>
      <c r="L34" s="7" t="n">
        <v>0</v>
      </c>
    </row>
    <row r="35">
      <c r="A35" t="n">
        <v>2100</v>
      </c>
      <c r="B35" t="inlineStr">
        <is>
          <t>Accrued salaries &amp; benefits</t>
        </is>
      </c>
      <c r="C35" t="inlineStr">
        <is>
          <t>BS</t>
        </is>
      </c>
      <c r="D35" s="7" t="n">
        <v>1918781</v>
      </c>
      <c r="E35" s="7" t="n">
        <v>1322468</v>
      </c>
      <c r="F35" s="7" t="n">
        <v>837402</v>
      </c>
      <c r="G35" s="7" t="n">
        <v>67856</v>
      </c>
      <c r="H35" s="7" t="n">
        <v>9997560</v>
      </c>
      <c r="I35" s="7" t="n">
        <v>541578</v>
      </c>
      <c r="J35" s="7" t="n">
        <v>287490</v>
      </c>
      <c r="K35" s="7" t="n">
        <v>481110</v>
      </c>
      <c r="L35" s="7" t="n">
        <v>770286</v>
      </c>
    </row>
    <row r="36">
      <c r="A36" t="n">
        <v>2200</v>
      </c>
      <c r="B36" t="inlineStr">
        <is>
          <t>Income tax payable</t>
        </is>
      </c>
      <c r="C36" t="inlineStr">
        <is>
          <t>BS</t>
        </is>
      </c>
      <c r="D36" s="7" t="n">
        <v>309625</v>
      </c>
      <c r="E36" s="7" t="n">
        <v>311846</v>
      </c>
      <c r="F36" s="7" t="n">
        <v>12771</v>
      </c>
      <c r="G36" s="7" t="n">
        <v>10521</v>
      </c>
      <c r="H36" s="7" t="n">
        <v>12511389</v>
      </c>
      <c r="I36" s="7" t="n">
        <v>73727</v>
      </c>
      <c r="J36" s="7" t="n">
        <v>121789</v>
      </c>
      <c r="K36" s="7" t="n">
        <v>0</v>
      </c>
      <c r="L36" s="7" t="n">
        <v>0</v>
      </c>
    </row>
    <row r="37">
      <c r="A37" t="n">
        <v>2300</v>
      </c>
      <c r="B37" t="inlineStr">
        <is>
          <t>Bank borrowings</t>
        </is>
      </c>
      <c r="C37" t="inlineStr">
        <is>
          <t>BS</t>
        </is>
      </c>
      <c r="D37" s="7" t="n">
        <v>0</v>
      </c>
      <c r="E37" s="7" t="n">
        <v>5105514</v>
      </c>
      <c r="F37" s="7" t="n">
        <v>0</v>
      </c>
      <c r="G37" s="7" t="n">
        <v>0</v>
      </c>
      <c r="H37" s="7" t="n">
        <v>117870701</v>
      </c>
      <c r="I37" s="7" t="n">
        <v>0</v>
      </c>
      <c r="J37" s="7" t="n">
        <v>3795911</v>
      </c>
      <c r="K37" s="7" t="n">
        <v>3744044</v>
      </c>
      <c r="L37" s="7" t="n">
        <v>0</v>
      </c>
    </row>
    <row r="38">
      <c r="A38" t="n">
        <v>3000</v>
      </c>
      <c r="B38" t="inlineStr">
        <is>
          <t>Share capital</t>
        </is>
      </c>
      <c r="C38" t="inlineStr">
        <is>
          <t>BS</t>
        </is>
      </c>
      <c r="D38" s="7" t="n">
        <v>33660000</v>
      </c>
      <c r="E38" s="7" t="n">
        <v>24743999</v>
      </c>
      <c r="F38" s="7" t="n">
        <v>14451374</v>
      </c>
      <c r="G38" s="7" t="n">
        <v>1100519</v>
      </c>
      <c r="H38" s="7" t="n">
        <v>361969525</v>
      </c>
      <c r="I38" s="7" t="n">
        <v>19157440</v>
      </c>
      <c r="J38" s="7" t="n">
        <v>2827801</v>
      </c>
      <c r="K38" s="7" t="n">
        <v>5594058</v>
      </c>
      <c r="L38" s="7" t="n">
        <v>146721982</v>
      </c>
    </row>
    <row r="39">
      <c r="A39" t="n">
        <v>3100</v>
      </c>
      <c r="B39" t="inlineStr">
        <is>
          <t>Retained earnings</t>
        </is>
      </c>
      <c r="C39" t="inlineStr">
        <is>
          <t>BS</t>
        </is>
      </c>
      <c r="D39" s="7" t="n">
        <v>30125158</v>
      </c>
      <c r="E39" s="7" t="n">
        <v>18530130</v>
      </c>
      <c r="F39" s="7" t="n">
        <v>9605635</v>
      </c>
      <c r="G39" s="7" t="n">
        <v>1280302</v>
      </c>
      <c r="H39" s="7" t="n">
        <v>-22620891</v>
      </c>
      <c r="I39" s="7" t="n">
        <v>9453641</v>
      </c>
      <c r="J39" s="7" t="n">
        <v>-724690</v>
      </c>
      <c r="K39" s="7" t="n">
        <v>-1611071</v>
      </c>
      <c r="L39" s="7" t="n">
        <v>-6815079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6" customWidth="1" min="2" max="2"/>
    <col width="14" customWidth="1" min="3" max="3"/>
    <col width="15" customWidth="1" min="4" max="4"/>
    <col width="10" customWidth="1" min="5" max="5"/>
    <col width="15" customWidth="1" min="6" max="6"/>
    <col width="15" customWidth="1" min="7" max="7"/>
    <col width="10" customWidth="1" min="8" max="8"/>
    <col width="15" customWidth="1" min="9" max="9"/>
    <col width="15" customWidth="1" min="10" max="10"/>
    <col width="10" customWidth="1" min="11" max="11"/>
    <col width="15" customWidth="1" min="12" max="12"/>
    <col width="15" customWidth="1" min="13" max="13"/>
    <col width="10" customWidth="1" min="14" max="14"/>
    <col width="15" customWidth="1" min="15" max="15"/>
    <col width="15" customWidth="1" min="16" max="16"/>
    <col width="10" customWidth="1" min="17" max="17"/>
    <col width="15" customWidth="1" min="18" max="18"/>
    <col width="15" customWidth="1" min="19" max="19"/>
    <col width="10" customWidth="1" min="20" max="20"/>
    <col width="15" customWidth="1" min="21" max="21"/>
    <col width="15" customWidth="1" min="22" max="22"/>
    <col width="10" customWidth="1" min="23" max="23"/>
    <col width="15" customWidth="1" min="24" max="24"/>
    <col width="15" customWidth="1" min="25" max="25"/>
    <col width="10" customWidth="1" min="26" max="26"/>
    <col width="15" customWidth="1" min="27" max="27"/>
    <col width="15" customWidth="1" min="28" max="28"/>
    <col width="10" customWidth="1" min="29" max="29"/>
    <col width="15" customWidth="1" min="30" max="30"/>
  </cols>
  <sheetData>
    <row r="1">
      <c r="A1" s="1" t="inlineStr">
        <is>
          <t>Translation to AED - 30 September 2026 (P&amp;L = Jan-Sep 2026)</t>
        </is>
      </c>
    </row>
    <row r="2">
      <c r="A2" s="2" t="inlineStr">
        <is>
          <t>P&amp;L is translated month by month; the rate shown for P&amp;L lines is the effective YTD rate (AED / LCY). Balance sheet uses closing rate; equity historical; CTA balances.</t>
        </is>
      </c>
    </row>
    <row r="4">
      <c r="A4" s="5" t="inlineStr">
        <is>
          <t>Account</t>
        </is>
      </c>
      <c r="B4" s="5" t="inlineStr">
        <is>
          <t>Name</t>
        </is>
      </c>
      <c r="C4" s="5" t="inlineStr">
        <is>
          <t>Rate type</t>
        </is>
      </c>
      <c r="D4" s="5" t="inlineStr">
        <is>
          <t>UAE LCY</t>
        </is>
      </c>
      <c r="E4" s="5" t="inlineStr">
        <is>
          <t>Rate</t>
        </is>
      </c>
      <c r="F4" s="5" t="inlineStr">
        <is>
          <t>UAE AED</t>
        </is>
      </c>
      <c r="G4" s="5" t="inlineStr">
        <is>
          <t>KSA LCY</t>
        </is>
      </c>
      <c r="H4" s="5" t="inlineStr">
        <is>
          <t>Rate</t>
        </is>
      </c>
      <c r="I4" s="5" t="inlineStr">
        <is>
          <t>KSA AED</t>
        </is>
      </c>
      <c r="J4" s="5" t="inlineStr">
        <is>
          <t>Qatar LCY</t>
        </is>
      </c>
      <c r="K4" s="5" t="inlineStr">
        <is>
          <t>Rate</t>
        </is>
      </c>
      <c r="L4" s="5" t="inlineStr">
        <is>
          <t>Qatar AED</t>
        </is>
      </c>
      <c r="M4" s="5" t="inlineStr">
        <is>
          <t>Kuwait LCY</t>
        </is>
      </c>
      <c r="N4" s="5" t="inlineStr">
        <is>
          <t>Rate</t>
        </is>
      </c>
      <c r="O4" s="5" t="inlineStr">
        <is>
          <t>Kuwait AED</t>
        </is>
      </c>
      <c r="P4" s="5" t="inlineStr">
        <is>
          <t>Pakistan LCY</t>
        </is>
      </c>
      <c r="Q4" s="5" t="inlineStr">
        <is>
          <t>Rate</t>
        </is>
      </c>
      <c r="R4" s="5" t="inlineStr">
        <is>
          <t>Pakistan AED</t>
        </is>
      </c>
      <c r="S4" s="5" t="inlineStr">
        <is>
          <t>Afghanistan LCY</t>
        </is>
      </c>
      <c r="T4" s="5" t="inlineStr">
        <is>
          <t>Rate</t>
        </is>
      </c>
      <c r="U4" s="5" t="inlineStr">
        <is>
          <t>Afghanistan AED</t>
        </is>
      </c>
      <c r="V4" s="5" t="inlineStr">
        <is>
          <t>UK LCY</t>
        </is>
      </c>
      <c r="W4" s="5" t="inlineStr">
        <is>
          <t>Rate</t>
        </is>
      </c>
      <c r="X4" s="5" t="inlineStr">
        <is>
          <t>UK AED</t>
        </is>
      </c>
      <c r="Y4" s="5" t="inlineStr">
        <is>
          <t>USA LCY</t>
        </is>
      </c>
      <c r="Z4" s="5" t="inlineStr">
        <is>
          <t>Rate</t>
        </is>
      </c>
      <c r="AA4" s="5" t="inlineStr">
        <is>
          <t>USA AED</t>
        </is>
      </c>
      <c r="AB4" s="5" t="inlineStr">
        <is>
          <t>Head office LCY</t>
        </is>
      </c>
      <c r="AC4" s="5" t="inlineStr">
        <is>
          <t>Rate</t>
        </is>
      </c>
      <c r="AD4" s="5" t="inlineStr">
        <is>
          <t>Head office AED</t>
        </is>
      </c>
    </row>
    <row r="5">
      <c r="A5" t="n">
        <v>4000</v>
      </c>
      <c r="B5" t="inlineStr">
        <is>
          <t>Consultation revenue</t>
        </is>
      </c>
      <c r="C5" t="inlineStr">
        <is>
          <t>Average</t>
        </is>
      </c>
      <c r="D5" s="7">
        <f>'Entity TB (LCY)'!D5</f>
        <v/>
      </c>
      <c r="E5" s="6" t="n">
        <v>1</v>
      </c>
      <c r="F5" s="7">
        <f>D5*E5</f>
        <v/>
      </c>
      <c r="G5" s="7">
        <f>'Entity TB (LCY)'!E5</f>
        <v/>
      </c>
      <c r="H5" s="6" t="n">
        <v>0.979333332007469</v>
      </c>
      <c r="I5" s="7">
        <f>G5*H5</f>
        <v/>
      </c>
      <c r="J5" s="7">
        <f>'Entity TB (LCY)'!F5</f>
        <v/>
      </c>
      <c r="K5" s="6" t="n">
        <v>1.008928569989268</v>
      </c>
      <c r="L5" s="7">
        <f>J5*K5</f>
        <v/>
      </c>
      <c r="M5" s="7">
        <f>'Entity TB (LCY)'!G5</f>
        <v/>
      </c>
      <c r="N5" s="6" t="n">
        <v>11.91583537648274</v>
      </c>
      <c r="O5" s="7">
        <f>M5*N5</f>
        <v/>
      </c>
      <c r="P5" s="7">
        <f>'Entity TB (LCY)'!H5</f>
        <v/>
      </c>
      <c r="Q5" s="6" t="n">
        <v>0.01211131417220143</v>
      </c>
      <c r="R5" s="7">
        <f>P5*Q5</f>
        <v/>
      </c>
      <c r="S5" s="7">
        <f>'Entity TB (LCY)'!I5</f>
        <v/>
      </c>
      <c r="T5" s="6" t="n">
        <v>0.04924365374651719</v>
      </c>
      <c r="U5" s="7">
        <f>S5*T5</f>
        <v/>
      </c>
      <c r="V5" s="7">
        <f>'Entity TB (LCY)'!J5</f>
        <v/>
      </c>
      <c r="W5" s="6" t="n">
        <v>4.643274266605744</v>
      </c>
      <c r="X5" s="7">
        <f>V5*W5</f>
        <v/>
      </c>
      <c r="Y5" s="7">
        <f>'Entity TB (LCY)'!K5</f>
        <v/>
      </c>
      <c r="Z5" s="6" t="n">
        <v>3.672499999680663</v>
      </c>
      <c r="AA5" s="7">
        <f>Y5*Z5</f>
        <v/>
      </c>
      <c r="AB5" s="7">
        <f>'Entity TB (LCY)'!L5</f>
        <v/>
      </c>
      <c r="AC5" s="6" t="n">
        <v>1</v>
      </c>
      <c r="AD5" s="7">
        <f>AB5*AC5</f>
        <v/>
      </c>
    </row>
    <row r="6">
      <c r="A6" t="n">
        <v>4100</v>
      </c>
      <c r="B6" t="inlineStr">
        <is>
          <t>Procedures revenue</t>
        </is>
      </c>
      <c r="C6" t="inlineStr">
        <is>
          <t>Average</t>
        </is>
      </c>
      <c r="D6" s="7">
        <f>'Entity TB (LCY)'!D6</f>
        <v/>
      </c>
      <c r="E6" s="6" t="n">
        <v>1</v>
      </c>
      <c r="F6" s="7">
        <f>D6*E6</f>
        <v/>
      </c>
      <c r="G6" s="7">
        <f>'Entity TB (LCY)'!E6</f>
        <v/>
      </c>
      <c r="H6" s="6" t="n">
        <v>0.9793333345245889</v>
      </c>
      <c r="I6" s="7">
        <f>G6*H6</f>
        <v/>
      </c>
      <c r="J6" s="7">
        <f>'Entity TB (LCY)'!F6</f>
        <v/>
      </c>
      <c r="K6" s="6" t="n">
        <v>1.008928569634448</v>
      </c>
      <c r="L6" s="7">
        <f>J6*K6</f>
        <v/>
      </c>
      <c r="M6" s="7">
        <f>'Entity TB (LCY)'!G6</f>
        <v/>
      </c>
      <c r="N6" s="6" t="n">
        <v>11.91582786162244</v>
      </c>
      <c r="O6" s="7">
        <f>M6*N6</f>
        <v/>
      </c>
      <c r="P6" s="7">
        <f>'Entity TB (LCY)'!H6</f>
        <v/>
      </c>
      <c r="Q6" s="6" t="n">
        <v>0.01211041568645462</v>
      </c>
      <c r="R6" s="7">
        <f>P6*Q6</f>
        <v/>
      </c>
      <c r="S6" s="7">
        <f>'Entity TB (LCY)'!I6</f>
        <v/>
      </c>
      <c r="T6" s="6" t="n">
        <v>0.0492417076517934</v>
      </c>
      <c r="U6" s="7">
        <f>S6*T6</f>
        <v/>
      </c>
      <c r="V6" s="7">
        <f>'Entity TB (LCY)'!J6</f>
        <v/>
      </c>
      <c r="W6" s="6" t="n">
        <v>4.642446174967924</v>
      </c>
      <c r="X6" s="7">
        <f>V6*W6</f>
        <v/>
      </c>
      <c r="Y6" s="7">
        <f>'Entity TB (LCY)'!K6</f>
        <v/>
      </c>
      <c r="Z6" s="6" t="n">
        <v>3.672499990671492</v>
      </c>
      <c r="AA6" s="7">
        <f>Y6*Z6</f>
        <v/>
      </c>
      <c r="AB6" s="7">
        <f>'Entity TB (LCY)'!L6</f>
        <v/>
      </c>
      <c r="AC6" s="6" t="n">
        <v>1</v>
      </c>
      <c r="AD6" s="7">
        <f>AB6*AC6</f>
        <v/>
      </c>
    </row>
    <row r="7">
      <c r="A7" t="n">
        <v>4200</v>
      </c>
      <c r="B7" t="inlineStr">
        <is>
          <t>Diagnostics revenue</t>
        </is>
      </c>
      <c r="C7" t="inlineStr">
        <is>
          <t>Average</t>
        </is>
      </c>
      <c r="D7" s="7">
        <f>'Entity TB (LCY)'!D7</f>
        <v/>
      </c>
      <c r="E7" s="6" t="n">
        <v>1</v>
      </c>
      <c r="F7" s="7">
        <f>D7*E7</f>
        <v/>
      </c>
      <c r="G7" s="7">
        <f>'Entity TB (LCY)'!E7</f>
        <v/>
      </c>
      <c r="H7" s="6" t="n">
        <v>0.9793333343784569</v>
      </c>
      <c r="I7" s="7">
        <f>G7*H7</f>
        <v/>
      </c>
      <c r="J7" s="7">
        <f>'Entity TB (LCY)'!F7</f>
        <v/>
      </c>
      <c r="K7" s="6" t="n">
        <v>1.008928575651519</v>
      </c>
      <c r="L7" s="7">
        <f>J7*K7</f>
        <v/>
      </c>
      <c r="M7" s="7">
        <f>'Entity TB (LCY)'!G7</f>
        <v/>
      </c>
      <c r="N7" s="6" t="n">
        <v>11.9158320902479</v>
      </c>
      <c r="O7" s="7">
        <f>M7*N7</f>
        <v/>
      </c>
      <c r="P7" s="7">
        <f>'Entity TB (LCY)'!H7</f>
        <v/>
      </c>
      <c r="Q7" s="6" t="n">
        <v>0.01211226874975157</v>
      </c>
      <c r="R7" s="7">
        <f>P7*Q7</f>
        <v/>
      </c>
      <c r="S7" s="7">
        <f>'Entity TB (LCY)'!I7</f>
        <v/>
      </c>
      <c r="T7" s="6" t="n">
        <v>0.04924297626531655</v>
      </c>
      <c r="U7" s="7">
        <f>S7*T7</f>
        <v/>
      </c>
      <c r="V7" s="7">
        <f>'Entity TB (LCY)'!J7</f>
        <v/>
      </c>
      <c r="W7" s="6" t="n">
        <v>4.641413818725735</v>
      </c>
      <c r="X7" s="7">
        <f>V7*W7</f>
        <v/>
      </c>
      <c r="Y7" s="7">
        <f>'Entity TB (LCY)'!K7</f>
        <v/>
      </c>
      <c r="Z7" s="6" t="n">
        <v>3.672500000853</v>
      </c>
      <c r="AA7" s="7">
        <f>Y7*Z7</f>
        <v/>
      </c>
      <c r="AB7" s="7">
        <f>'Entity TB (LCY)'!L7</f>
        <v/>
      </c>
      <c r="AC7" s="6" t="n">
        <v>1</v>
      </c>
      <c r="AD7" s="7">
        <f>AB7*AC7</f>
        <v/>
      </c>
    </row>
    <row r="8">
      <c r="A8" t="n">
        <v>4300</v>
      </c>
      <c r="B8" t="inlineStr">
        <is>
          <t>Pharmacy revenue</t>
        </is>
      </c>
      <c r="C8" t="inlineStr">
        <is>
          <t>Average</t>
        </is>
      </c>
      <c r="D8" s="7">
        <f>'Entity TB (LCY)'!D8</f>
        <v/>
      </c>
      <c r="E8" s="6" t="n">
        <v>1</v>
      </c>
      <c r="F8" s="7">
        <f>D8*E8</f>
        <v/>
      </c>
      <c r="G8" s="7">
        <f>'Entity TB (LCY)'!E8</f>
        <v/>
      </c>
      <c r="H8" s="6" t="n">
        <v>0.9793333309952145</v>
      </c>
      <c r="I8" s="7">
        <f>G8*H8</f>
        <v/>
      </c>
      <c r="J8" s="7">
        <f>'Entity TB (LCY)'!F8</f>
        <v/>
      </c>
      <c r="K8" s="6" t="n">
        <v>1.008928566014694</v>
      </c>
      <c r="L8" s="7">
        <f>J8*K8</f>
        <v/>
      </c>
      <c r="M8" s="7">
        <f>'Entity TB (LCY)'!G8</f>
        <v/>
      </c>
      <c r="N8" s="6" t="n">
        <v>11.91583313004125</v>
      </c>
      <c r="O8" s="7">
        <f>M8*N8</f>
        <v/>
      </c>
      <c r="P8" s="7">
        <f>'Entity TB (LCY)'!H8</f>
        <v/>
      </c>
      <c r="Q8" s="6" t="n">
        <v>0.01211117078641184</v>
      </c>
      <c r="R8" s="7">
        <f>P8*Q8</f>
        <v/>
      </c>
      <c r="S8" s="7">
        <f>'Entity TB (LCY)'!I8</f>
        <v/>
      </c>
      <c r="T8" s="6" t="n">
        <v>0.04924298318628403</v>
      </c>
      <c r="U8" s="7">
        <f>S8*T8</f>
        <v/>
      </c>
      <c r="V8" s="7">
        <f>'Entity TB (LCY)'!J8</f>
        <v/>
      </c>
      <c r="W8" s="6" t="n">
        <v>4.643283039550122</v>
      </c>
      <c r="X8" s="7">
        <f>V8*W8</f>
        <v/>
      </c>
      <c r="Y8" s="7">
        <f>'Entity TB (LCY)'!K8</f>
        <v/>
      </c>
      <c r="Z8" s="6" t="n">
        <v>3.672500029413541</v>
      </c>
      <c r="AA8" s="7">
        <f>Y8*Z8</f>
        <v/>
      </c>
      <c r="AB8" s="7">
        <f>'Entity TB (LCY)'!L8</f>
        <v/>
      </c>
      <c r="AC8" s="6" t="n">
        <v>1</v>
      </c>
      <c r="AD8" s="7">
        <f>AB8*AC8</f>
        <v/>
      </c>
    </row>
    <row r="9">
      <c r="A9" t="n">
        <v>4900</v>
      </c>
      <c r="B9" t="inlineStr">
        <is>
          <t>Contractual discounts</t>
        </is>
      </c>
      <c r="C9" t="inlineStr">
        <is>
          <t>Average</t>
        </is>
      </c>
      <c r="D9" s="7">
        <f>'Entity TB (LCY)'!D9</f>
        <v/>
      </c>
      <c r="E9" s="6" t="n">
        <v>1</v>
      </c>
      <c r="F9" s="7">
        <f>D9*E9</f>
        <v/>
      </c>
      <c r="G9" s="7">
        <f>'Entity TB (LCY)'!E9</f>
        <v/>
      </c>
      <c r="H9" s="6" t="n">
        <v>0.9793333331328944</v>
      </c>
      <c r="I9" s="7">
        <f>G9*H9</f>
        <v/>
      </c>
      <c r="J9" s="7">
        <f>'Entity TB (LCY)'!F9</f>
        <v/>
      </c>
      <c r="K9" s="6" t="n">
        <v>1.008928578105118</v>
      </c>
      <c r="L9" s="7">
        <f>J9*K9</f>
        <v/>
      </c>
      <c r="M9" s="7">
        <f>'Entity TB (LCY)'!G9</f>
        <v/>
      </c>
      <c r="N9" s="6" t="n">
        <v>11.91583017286727</v>
      </c>
      <c r="O9" s="7">
        <f>M9*N9</f>
        <v/>
      </c>
      <c r="P9" s="7">
        <f>'Entity TB (LCY)'!H9</f>
        <v/>
      </c>
      <c r="Q9" s="6" t="n">
        <v>0.01211111915771926</v>
      </c>
      <c r="R9" s="7">
        <f>P9*Q9</f>
        <v/>
      </c>
      <c r="S9" s="7">
        <f>'Entity TB (LCY)'!I9</f>
        <v/>
      </c>
      <c r="T9" s="6" t="n">
        <v>0.04924364484870625</v>
      </c>
      <c r="U9" s="7">
        <f>S9*T9</f>
        <v/>
      </c>
      <c r="V9" s="7">
        <f>'Entity TB (LCY)'!J9</f>
        <v/>
      </c>
      <c r="W9" s="6" t="n">
        <v>4.642830695460316</v>
      </c>
      <c r="X9" s="7">
        <f>V9*W9</f>
        <v/>
      </c>
      <c r="Y9" s="7">
        <f>'Entity TB (LCY)'!K9</f>
        <v/>
      </c>
      <c r="Z9" s="6" t="n">
        <v>3.672500004163752</v>
      </c>
      <c r="AA9" s="7">
        <f>Y9*Z9</f>
        <v/>
      </c>
      <c r="AB9" s="7">
        <f>'Entity TB (LCY)'!L9</f>
        <v/>
      </c>
      <c r="AC9" s="6" t="n">
        <v>1</v>
      </c>
      <c r="AD9" s="7">
        <f>AB9*AC9</f>
        <v/>
      </c>
    </row>
    <row r="10">
      <c r="A10" t="n">
        <v>5000</v>
      </c>
      <c r="B10" t="inlineStr">
        <is>
          <t>Doctor salaries</t>
        </is>
      </c>
      <c r="C10" t="inlineStr">
        <is>
          <t>Average</t>
        </is>
      </c>
      <c r="D10" s="7">
        <f>'Entity TB (LCY)'!D10</f>
        <v/>
      </c>
      <c r="E10" s="6" t="n">
        <v>1</v>
      </c>
      <c r="F10" s="7">
        <f>D10*E10</f>
        <v/>
      </c>
      <c r="G10" s="7">
        <f>'Entity TB (LCY)'!E10</f>
        <v/>
      </c>
      <c r="H10" s="6" t="n">
        <v>0.9793333288824656</v>
      </c>
      <c r="I10" s="7">
        <f>G10*H10</f>
        <v/>
      </c>
      <c r="J10" s="7">
        <f>'Entity TB (LCY)'!F10</f>
        <v/>
      </c>
      <c r="K10" s="6" t="n">
        <v>1.008928573954782</v>
      </c>
      <c r="L10" s="7">
        <f>J10*K10</f>
        <v/>
      </c>
      <c r="M10" s="7">
        <f>'Entity TB (LCY)'!G10</f>
        <v/>
      </c>
      <c r="N10" s="6" t="n">
        <v>11.91573400544868</v>
      </c>
      <c r="O10" s="7">
        <f>M10*N10</f>
        <v/>
      </c>
      <c r="P10" s="7">
        <f>'Entity TB (LCY)'!H10</f>
        <v/>
      </c>
      <c r="Q10" s="6" t="n">
        <v>0.01211868354816319</v>
      </c>
      <c r="R10" s="7">
        <f>P10*Q10</f>
        <v/>
      </c>
      <c r="S10" s="7">
        <f>'Entity TB (LCY)'!I10</f>
        <v/>
      </c>
      <c r="T10" s="6" t="n">
        <v>0.0492969161960452</v>
      </c>
      <c r="U10" s="7">
        <f>S10*T10</f>
        <v/>
      </c>
      <c r="V10" s="7">
        <f>'Entity TB (LCY)'!J10</f>
        <v/>
      </c>
      <c r="W10" s="6" t="n">
        <v>4.648755170639918</v>
      </c>
      <c r="X10" s="7">
        <f>V10*W10</f>
        <v/>
      </c>
      <c r="Y10" s="7">
        <f>'Entity TB (LCY)'!K10</f>
        <v/>
      </c>
      <c r="Z10" s="6" t="n">
        <v>3.672499973266875</v>
      </c>
      <c r="AA10" s="7">
        <f>Y10*Z10</f>
        <v/>
      </c>
      <c r="AB10" s="7">
        <f>'Entity TB (LCY)'!L10</f>
        <v/>
      </c>
      <c r="AC10" s="6" t="n">
        <v>1</v>
      </c>
      <c r="AD10" s="7">
        <f>AB10*AC10</f>
        <v/>
      </c>
    </row>
    <row r="11">
      <c r="A11" t="n">
        <v>5100</v>
      </c>
      <c r="B11" t="inlineStr">
        <is>
          <t>Nursing &amp; clinical staff</t>
        </is>
      </c>
      <c r="C11" t="inlineStr">
        <is>
          <t>Average</t>
        </is>
      </c>
      <c r="D11" s="7">
        <f>'Entity TB (LCY)'!D11</f>
        <v/>
      </c>
      <c r="E11" s="6" t="n">
        <v>1</v>
      </c>
      <c r="F11" s="7">
        <f>D11*E11</f>
        <v/>
      </c>
      <c r="G11" s="7">
        <f>'Entity TB (LCY)'!E11</f>
        <v/>
      </c>
      <c r="H11" s="6" t="n">
        <v>0.9793333262359559</v>
      </c>
      <c r="I11" s="7">
        <f>G11*H11</f>
        <v/>
      </c>
      <c r="J11" s="7">
        <f>'Entity TB (LCY)'!F11</f>
        <v/>
      </c>
      <c r="K11" s="6" t="n">
        <v>1.008928571705419</v>
      </c>
      <c r="L11" s="7">
        <f>J11*K11</f>
        <v/>
      </c>
      <c r="M11" s="7">
        <f>'Entity TB (LCY)'!G11</f>
        <v/>
      </c>
      <c r="N11" s="6" t="n">
        <v>11.9157419390415</v>
      </c>
      <c r="O11" s="7">
        <f>M11*N11</f>
        <v/>
      </c>
      <c r="P11" s="7">
        <f>'Entity TB (LCY)'!H11</f>
        <v/>
      </c>
      <c r="Q11" s="6" t="n">
        <v>0.01211823786071443</v>
      </c>
      <c r="R11" s="7">
        <f>P11*Q11</f>
        <v/>
      </c>
      <c r="S11" s="7">
        <f>'Entity TB (LCY)'!I11</f>
        <v/>
      </c>
      <c r="T11" s="6" t="n">
        <v>0.04929764204590346</v>
      </c>
      <c r="U11" s="7">
        <f>S11*T11</f>
        <v/>
      </c>
      <c r="V11" s="7">
        <f>'Entity TB (LCY)'!J11</f>
        <v/>
      </c>
      <c r="W11" s="6" t="n">
        <v>4.648372309956061</v>
      </c>
      <c r="X11" s="7">
        <f>V11*W11</f>
        <v/>
      </c>
      <c r="Y11" s="7">
        <f>'Entity TB (LCY)'!K11</f>
        <v/>
      </c>
      <c r="Z11" s="6" t="n">
        <v>3.672499996421823</v>
      </c>
      <c r="AA11" s="7">
        <f>Y11*Z11</f>
        <v/>
      </c>
      <c r="AB11" s="7">
        <f>'Entity TB (LCY)'!L11</f>
        <v/>
      </c>
      <c r="AC11" s="6" t="n">
        <v>1</v>
      </c>
      <c r="AD11" s="7">
        <f>AB11*AC11</f>
        <v/>
      </c>
    </row>
    <row r="12">
      <c r="A12" t="n">
        <v>5200</v>
      </c>
      <c r="B12" t="inlineStr">
        <is>
          <t>Medical consumables</t>
        </is>
      </c>
      <c r="C12" t="inlineStr">
        <is>
          <t>Average</t>
        </is>
      </c>
      <c r="D12" s="7">
        <f>'Entity TB (LCY)'!D12</f>
        <v/>
      </c>
      <c r="E12" s="6" t="n">
        <v>1</v>
      </c>
      <c r="F12" s="7">
        <f>D12*E12</f>
        <v/>
      </c>
      <c r="G12" s="7">
        <f>'Entity TB (LCY)'!E12</f>
        <v/>
      </c>
      <c r="H12" s="6" t="n">
        <v>0.9793333354279294</v>
      </c>
      <c r="I12" s="7">
        <f>G12*H12</f>
        <v/>
      </c>
      <c r="J12" s="7">
        <f>'Entity TB (LCY)'!F12</f>
        <v/>
      </c>
      <c r="K12" s="6" t="n">
        <v>1.008928572580907</v>
      </c>
      <c r="L12" s="7">
        <f>J12*K12</f>
        <v/>
      </c>
      <c r="M12" s="7">
        <f>'Entity TB (LCY)'!G12</f>
        <v/>
      </c>
      <c r="N12" s="6" t="n">
        <v>11.91597650412497</v>
      </c>
      <c r="O12" s="7">
        <f>M12*N12</f>
        <v/>
      </c>
      <c r="P12" s="7">
        <f>'Entity TB (LCY)'!H12</f>
        <v/>
      </c>
      <c r="Q12" s="6" t="n">
        <v>0.01211169440561441</v>
      </c>
      <c r="R12" s="7">
        <f>P12*Q12</f>
        <v/>
      </c>
      <c r="S12" s="7">
        <f>'Entity TB (LCY)'!I12</f>
        <v/>
      </c>
      <c r="T12" s="6" t="n">
        <v>0.04922426761227885</v>
      </c>
      <c r="U12" s="7">
        <f>S12*T12</f>
        <v/>
      </c>
      <c r="V12" s="7">
        <f>'Entity TB (LCY)'!J12</f>
        <v/>
      </c>
      <c r="W12" s="6" t="n">
        <v>4.643122035875775</v>
      </c>
      <c r="X12" s="7">
        <f>V12*W12</f>
        <v/>
      </c>
      <c r="Y12" s="7">
        <f>'Entity TB (LCY)'!K12</f>
        <v/>
      </c>
      <c r="Z12" s="6" t="n">
        <v>3.672500088646612</v>
      </c>
      <c r="AA12" s="7">
        <f>Y12*Z12</f>
        <v/>
      </c>
      <c r="AB12" s="7">
        <f>'Entity TB (LCY)'!L12</f>
        <v/>
      </c>
      <c r="AC12" s="6" t="n">
        <v>1</v>
      </c>
      <c r="AD12" s="7">
        <f>AB12*AC12</f>
        <v/>
      </c>
    </row>
    <row r="13">
      <c r="A13" t="n">
        <v>5300</v>
      </c>
      <c r="B13" t="inlineStr">
        <is>
          <t>Pharmacy cost of goods</t>
        </is>
      </c>
      <c r="C13" t="inlineStr">
        <is>
          <t>Average</t>
        </is>
      </c>
      <c r="D13" s="7">
        <f>'Entity TB (LCY)'!D13</f>
        <v/>
      </c>
      <c r="E13" s="6" t="n">
        <v>1</v>
      </c>
      <c r="F13" s="7">
        <f>D13*E13</f>
        <v/>
      </c>
      <c r="G13" s="7">
        <f>'Entity TB (LCY)'!E13</f>
        <v/>
      </c>
      <c r="H13" s="6" t="n">
        <v>0.9793333405469172</v>
      </c>
      <c r="I13" s="7">
        <f>G13*H13</f>
        <v/>
      </c>
      <c r="J13" s="7">
        <f>'Entity TB (LCY)'!F13</f>
        <v/>
      </c>
      <c r="K13" s="6" t="n">
        <v>1.00892854609652</v>
      </c>
      <c r="L13" s="7">
        <f>J13*K13</f>
        <v/>
      </c>
      <c r="M13" s="7">
        <f>'Entity TB (LCY)'!G13</f>
        <v/>
      </c>
      <c r="N13" s="6" t="n">
        <v>11.91587106666918</v>
      </c>
      <c r="O13" s="7">
        <f>M13*N13</f>
        <v/>
      </c>
      <c r="P13" s="7">
        <f>'Entity TB (LCY)'!H13</f>
        <v/>
      </c>
      <c r="Q13" s="6" t="n">
        <v>0.01210944964850215</v>
      </c>
      <c r="R13" s="7">
        <f>P13*Q13</f>
        <v/>
      </c>
      <c r="S13" s="7">
        <f>'Entity TB (LCY)'!I13</f>
        <v/>
      </c>
      <c r="T13" s="6" t="n">
        <v>0.0492792747950808</v>
      </c>
      <c r="U13" s="7">
        <f>S13*T13</f>
        <v/>
      </c>
      <c r="V13" s="7">
        <f>'Entity TB (LCY)'!J13</f>
        <v/>
      </c>
      <c r="W13" s="6" t="n">
        <v>4.643184372994595</v>
      </c>
      <c r="X13" s="7">
        <f>V13*W13</f>
        <v/>
      </c>
      <c r="Y13" s="7">
        <f>'Entity TB (LCY)'!K13</f>
        <v/>
      </c>
      <c r="Z13" s="6" t="n">
        <v>3.672499968376874</v>
      </c>
      <c r="AA13" s="7">
        <f>Y13*Z13</f>
        <v/>
      </c>
      <c r="AB13" s="7">
        <f>'Entity TB (LCY)'!L13</f>
        <v/>
      </c>
      <c r="AC13" s="6" t="n">
        <v>1</v>
      </c>
      <c r="AD13" s="7">
        <f>AB13*AC13</f>
        <v/>
      </c>
    </row>
    <row r="14">
      <c r="A14" t="n">
        <v>6000</v>
      </c>
      <c r="B14" t="inlineStr">
        <is>
          <t>Rent &amp; facility</t>
        </is>
      </c>
      <c r="C14" t="inlineStr">
        <is>
          <t>Average</t>
        </is>
      </c>
      <c r="D14" s="7">
        <f>'Entity TB (LCY)'!D14</f>
        <v/>
      </c>
      <c r="E14" s="6" t="n">
        <v>1</v>
      </c>
      <c r="F14" s="7">
        <f>D14*E14</f>
        <v/>
      </c>
      <c r="G14" s="7">
        <f>'Entity TB (LCY)'!E14</f>
        <v/>
      </c>
      <c r="H14" s="6" t="n">
        <v>0.9793333330956311</v>
      </c>
      <c r="I14" s="7">
        <f>G14*H14</f>
        <v/>
      </c>
      <c r="J14" s="7">
        <f>'Entity TB (LCY)'!F14</f>
        <v/>
      </c>
      <c r="K14" s="6" t="n">
        <v>1.00892858759526</v>
      </c>
      <c r="L14" s="7">
        <f>J14*K14</f>
        <v/>
      </c>
      <c r="M14" s="7">
        <f>'Entity TB (LCY)'!G14</f>
        <v/>
      </c>
      <c r="N14" s="6" t="n">
        <v>11.91573555393703</v>
      </c>
      <c r="O14" s="7">
        <f>M14*N14</f>
        <v/>
      </c>
      <c r="P14" s="7">
        <f>'Entity TB (LCY)'!H14</f>
        <v/>
      </c>
      <c r="Q14" s="6" t="n">
        <v>0.01211868357256979</v>
      </c>
      <c r="R14" s="7">
        <f>P14*Q14</f>
        <v/>
      </c>
      <c r="S14" s="7">
        <f>'Entity TB (LCY)'!I14</f>
        <v/>
      </c>
      <c r="T14" s="6" t="n">
        <v>0.04929691910270915</v>
      </c>
      <c r="U14" s="7">
        <f>S14*T14</f>
        <v/>
      </c>
      <c r="V14" s="7">
        <f>'Entity TB (LCY)'!J14</f>
        <v/>
      </c>
      <c r="W14" s="6" t="n">
        <v>4.648755253458806</v>
      </c>
      <c r="X14" s="7">
        <f>V14*W14</f>
        <v/>
      </c>
      <c r="Y14" s="7">
        <f>'Entity TB (LCY)'!K14</f>
        <v/>
      </c>
      <c r="Z14" s="6" t="n">
        <v>3.672499835041378</v>
      </c>
      <c r="AA14" s="7">
        <f>Y14*Z14</f>
        <v/>
      </c>
      <c r="AB14" s="7">
        <f>'Entity TB (LCY)'!L14</f>
        <v/>
      </c>
      <c r="AC14" s="6" t="n">
        <v>1</v>
      </c>
      <c r="AD14" s="7">
        <f>AB14*AC14</f>
        <v/>
      </c>
    </row>
    <row r="15">
      <c r="A15" t="n">
        <v>6100</v>
      </c>
      <c r="B15" t="inlineStr">
        <is>
          <t>Admin &amp; front-office staff</t>
        </is>
      </c>
      <c r="C15" t="inlineStr">
        <is>
          <t>Average</t>
        </is>
      </c>
      <c r="D15" s="7">
        <f>'Entity TB (LCY)'!D15</f>
        <v/>
      </c>
      <c r="E15" s="6" t="n">
        <v>1</v>
      </c>
      <c r="F15" s="7">
        <f>D15*E15</f>
        <v/>
      </c>
      <c r="G15" s="7">
        <f>'Entity TB (LCY)'!E15</f>
        <v/>
      </c>
      <c r="H15" s="6" t="n">
        <v>0.9793332857663319</v>
      </c>
      <c r="I15" s="7">
        <f>G15*H15</f>
        <v/>
      </c>
      <c r="J15" s="7">
        <f>'Entity TB (LCY)'!F15</f>
        <v/>
      </c>
      <c r="K15" s="6" t="n">
        <v>1.008928561772063</v>
      </c>
      <c r="L15" s="7">
        <f>J15*K15</f>
        <v/>
      </c>
      <c r="M15" s="7">
        <f>'Entity TB (LCY)'!G15</f>
        <v/>
      </c>
      <c r="N15" s="6" t="n">
        <v>11.91573160958721</v>
      </c>
      <c r="O15" s="7">
        <f>M15*N15</f>
        <v/>
      </c>
      <c r="P15" s="7">
        <f>'Entity TB (LCY)'!H15</f>
        <v/>
      </c>
      <c r="Q15" s="6" t="n">
        <v>0.0121186841227178</v>
      </c>
      <c r="R15" s="7">
        <f>P15*Q15</f>
        <v/>
      </c>
      <c r="S15" s="7">
        <f>'Entity TB (LCY)'!I15</f>
        <v/>
      </c>
      <c r="T15" s="6" t="n">
        <v>0.04929690599623612</v>
      </c>
      <c r="U15" s="7">
        <f>S15*T15</f>
        <v/>
      </c>
      <c r="V15" s="7">
        <f>'Entity TB (LCY)'!J15</f>
        <v/>
      </c>
      <c r="W15" s="6" t="n">
        <v>4.648755181578863</v>
      </c>
      <c r="X15" s="7">
        <f>V15*W15</f>
        <v/>
      </c>
      <c r="Y15" s="7">
        <f>'Entity TB (LCY)'!K15</f>
        <v/>
      </c>
      <c r="Z15" s="6" t="n">
        <v>3.672499913653133</v>
      </c>
      <c r="AA15" s="7">
        <f>Y15*Z15</f>
        <v/>
      </c>
      <c r="AB15" s="7">
        <f>'Entity TB (LCY)'!L15</f>
        <v/>
      </c>
      <c r="AC15" s="6" t="n">
        <v>1</v>
      </c>
      <c r="AD15" s="7">
        <f>AB15*AC15</f>
        <v/>
      </c>
    </row>
    <row r="16">
      <c r="A16" t="n">
        <v>6200</v>
      </c>
      <c r="B16" t="inlineStr">
        <is>
          <t>Marketing</t>
        </is>
      </c>
      <c r="C16" t="inlineStr">
        <is>
          <t>Average</t>
        </is>
      </c>
      <c r="D16" s="7">
        <f>'Entity TB (LCY)'!D16</f>
        <v/>
      </c>
      <c r="E16" s="6" t="n">
        <v>1</v>
      </c>
      <c r="F16" s="7">
        <f>D16*E16</f>
        <v/>
      </c>
      <c r="G16" s="7">
        <f>'Entity TB (LCY)'!E16</f>
        <v/>
      </c>
      <c r="H16" s="6" t="n">
        <v>0.9793333637157047</v>
      </c>
      <c r="I16" s="7">
        <f>G16*H16</f>
        <v/>
      </c>
      <c r="J16" s="7">
        <f>'Entity TB (LCY)'!F16</f>
        <v/>
      </c>
      <c r="K16" s="6" t="n">
        <v>1.008928587684746</v>
      </c>
      <c r="L16" s="7">
        <f>J16*K16</f>
        <v/>
      </c>
      <c r="M16" s="7">
        <f>'Entity TB (LCY)'!G16</f>
        <v/>
      </c>
      <c r="N16" s="6" t="n">
        <v>11.9159440254062</v>
      </c>
      <c r="O16" s="7">
        <f>M16*N16</f>
        <v/>
      </c>
      <c r="P16" s="7">
        <f>'Entity TB (LCY)'!H16</f>
        <v/>
      </c>
      <c r="Q16" s="6" t="n">
        <v>0.01211677350924444</v>
      </c>
      <c r="R16" s="7">
        <f>P16*Q16</f>
        <v/>
      </c>
      <c r="S16" s="7">
        <f>'Entity TB (LCY)'!I16</f>
        <v/>
      </c>
      <c r="T16" s="6" t="n">
        <v>0.0492580970720426</v>
      </c>
      <c r="U16" s="7">
        <f>S16*T16</f>
        <v/>
      </c>
      <c r="V16" s="7">
        <f>'Entity TB (LCY)'!J16</f>
        <v/>
      </c>
      <c r="W16" s="6" t="n">
        <v>4.665743917179848</v>
      </c>
      <c r="X16" s="7">
        <f>V16*W16</f>
        <v/>
      </c>
      <c r="Y16" s="7">
        <f>'Entity TB (LCY)'!K16</f>
        <v/>
      </c>
      <c r="Z16" s="6" t="n">
        <v>3.672499939758228</v>
      </c>
      <c r="AA16" s="7">
        <f>Y16*Z16</f>
        <v/>
      </c>
      <c r="AB16" s="7">
        <f>'Entity TB (LCY)'!L16</f>
        <v/>
      </c>
      <c r="AC16" s="6" t="n">
        <v>1</v>
      </c>
      <c r="AD16" s="7">
        <f>AB16*AC16</f>
        <v/>
      </c>
    </row>
    <row r="17">
      <c r="A17" t="n">
        <v>6300</v>
      </c>
      <c r="B17" t="inlineStr">
        <is>
          <t>IT &amp; systems</t>
        </is>
      </c>
      <c r="C17" t="inlineStr">
        <is>
          <t>Average</t>
        </is>
      </c>
      <c r="D17" s="7">
        <f>'Entity TB (LCY)'!D17</f>
        <v/>
      </c>
      <c r="E17" s="6" t="n">
        <v>1</v>
      </c>
      <c r="F17" s="7">
        <f>D17*E17</f>
        <v/>
      </c>
      <c r="G17" s="7">
        <f>'Entity TB (LCY)'!E17</f>
        <v/>
      </c>
      <c r="H17" s="6" t="n">
        <v>0.9793332170665312</v>
      </c>
      <c r="I17" s="7">
        <f>G17*H17</f>
        <v/>
      </c>
      <c r="J17" s="7">
        <f>'Entity TB (LCY)'!F17</f>
        <v/>
      </c>
      <c r="K17" s="6" t="n">
        <v>1.008928507010568</v>
      </c>
      <c r="L17" s="7">
        <f>J17*K17</f>
        <v/>
      </c>
      <c r="M17" s="7">
        <f>'Entity TB (LCY)'!G17</f>
        <v/>
      </c>
      <c r="N17" s="6" t="n">
        <v>11.91575262155622</v>
      </c>
      <c r="O17" s="7">
        <f>M17*N17</f>
        <v/>
      </c>
      <c r="P17" s="7">
        <f>'Entity TB (LCY)'!H17</f>
        <v/>
      </c>
      <c r="Q17" s="6" t="n">
        <v>0.01211868407024509</v>
      </c>
      <c r="R17" s="7">
        <f>P17*Q17</f>
        <v/>
      </c>
      <c r="S17" s="7">
        <f>'Entity TB (LCY)'!I17</f>
        <v/>
      </c>
      <c r="T17" s="6" t="n">
        <v>0.04929691056841396</v>
      </c>
      <c r="U17" s="7">
        <f>S17*T17</f>
        <v/>
      </c>
      <c r="V17" s="7">
        <f>'Entity TB (LCY)'!J17</f>
        <v/>
      </c>
      <c r="W17" s="6" t="n">
        <v>4.648757878053368</v>
      </c>
      <c r="X17" s="7">
        <f>V17*W17</f>
        <v/>
      </c>
      <c r="Y17" s="7">
        <f>'Entity TB (LCY)'!K17</f>
        <v/>
      </c>
      <c r="Z17" s="6" t="n">
        <v>3.672500134756707</v>
      </c>
      <c r="AA17" s="7">
        <f>Y17*Z17</f>
        <v/>
      </c>
      <c r="AB17" s="7">
        <f>'Entity TB (LCY)'!L17</f>
        <v/>
      </c>
      <c r="AC17" s="6" t="n">
        <v>1</v>
      </c>
      <c r="AD17" s="7">
        <f>AB17*AC17</f>
        <v/>
      </c>
    </row>
    <row r="18">
      <c r="A18" t="n">
        <v>6400</v>
      </c>
      <c r="B18" t="inlineStr">
        <is>
          <t>Utilities &amp; maintenance</t>
        </is>
      </c>
      <c r="C18" t="inlineStr">
        <is>
          <t>Average</t>
        </is>
      </c>
      <c r="D18" s="7">
        <f>'Entity TB (LCY)'!D18</f>
        <v/>
      </c>
      <c r="E18" s="6" t="n">
        <v>1</v>
      </c>
      <c r="F18" s="7">
        <f>D18*E18</f>
        <v/>
      </c>
      <c r="G18" s="7">
        <f>'Entity TB (LCY)'!E18</f>
        <v/>
      </c>
      <c r="H18" s="6" t="n">
        <v>0.9793333165484605</v>
      </c>
      <c r="I18" s="7">
        <f>G18*H18</f>
        <v/>
      </c>
      <c r="J18" s="7">
        <f>'Entity TB (LCY)'!F18</f>
        <v/>
      </c>
      <c r="K18" s="6" t="n">
        <v>1.008928544991257</v>
      </c>
      <c r="L18" s="7">
        <f>J18*K18</f>
        <v/>
      </c>
      <c r="M18" s="7">
        <f>'Entity TB (LCY)'!G18</f>
        <v/>
      </c>
      <c r="N18" s="6" t="n">
        <v>11.91413592568017</v>
      </c>
      <c r="O18" s="7">
        <f>M18*N18</f>
        <v/>
      </c>
      <c r="P18" s="7">
        <f>'Entity TB (LCY)'!H18</f>
        <v/>
      </c>
      <c r="Q18" s="6" t="n">
        <v>0.01211868308730173</v>
      </c>
      <c r="R18" s="7">
        <f>P18*Q18</f>
        <v/>
      </c>
      <c r="S18" s="7">
        <f>'Entity TB (LCY)'!I18</f>
        <v/>
      </c>
      <c r="T18" s="6" t="n">
        <v>0.04929694208732176</v>
      </c>
      <c r="U18" s="7">
        <f>S18*T18</f>
        <v/>
      </c>
      <c r="V18" s="7">
        <f>'Entity TB (LCY)'!J18</f>
        <v/>
      </c>
      <c r="W18" s="6" t="n">
        <v>4.648755515491668</v>
      </c>
      <c r="X18" s="7">
        <f>V18*W18</f>
        <v/>
      </c>
      <c r="Y18" s="7">
        <f>'Entity TB (LCY)'!K18</f>
        <v/>
      </c>
      <c r="Z18" s="6" t="n">
        <v>3.672499059610778</v>
      </c>
      <c r="AA18" s="7">
        <f>Y18*Z18</f>
        <v/>
      </c>
      <c r="AB18" s="7">
        <f>'Entity TB (LCY)'!L18</f>
        <v/>
      </c>
      <c r="AC18" s="6" t="n">
        <v>1</v>
      </c>
      <c r="AD18" s="7">
        <f>AB18*AC18</f>
        <v/>
      </c>
    </row>
    <row r="19">
      <c r="A19" t="n">
        <v>6600</v>
      </c>
      <c r="B19" t="inlineStr">
        <is>
          <t>Claim denials written off</t>
        </is>
      </c>
      <c r="C19" t="inlineStr">
        <is>
          <t>Average</t>
        </is>
      </c>
      <c r="D19" s="7">
        <f>'Entity TB (LCY)'!D19</f>
        <v/>
      </c>
      <c r="E19" s="6" t="n">
        <v>1</v>
      </c>
      <c r="F19" s="7">
        <f>D19*E19</f>
        <v/>
      </c>
      <c r="G19" s="7">
        <f>'Entity TB (LCY)'!E19</f>
        <v/>
      </c>
      <c r="H19" s="6" t="n">
        <v>0.9793333313899441</v>
      </c>
      <c r="I19" s="7">
        <f>G19*H19</f>
        <v/>
      </c>
      <c r="J19" s="7">
        <f>'Entity TB (LCY)'!F19</f>
        <v/>
      </c>
      <c r="K19" s="6" t="n">
        <v>1.008928573124</v>
      </c>
      <c r="L19" s="7">
        <f>J19*K19</f>
        <v/>
      </c>
      <c r="M19" s="7">
        <f>'Entity TB (LCY)'!G19</f>
        <v/>
      </c>
      <c r="N19" s="6" t="n">
        <v>11.91571989586391</v>
      </c>
      <c r="O19" s="7">
        <f>M19*N19</f>
        <v/>
      </c>
      <c r="P19" s="7">
        <f>'Entity TB (LCY)'!H19</f>
        <v/>
      </c>
      <c r="Q19" s="6" t="n">
        <v>0.01208000728983974</v>
      </c>
      <c r="R19" s="7">
        <f>P19*Q19</f>
        <v/>
      </c>
      <c r="S19" s="7">
        <f>'Entity TB (LCY)'!I19</f>
        <v/>
      </c>
      <c r="T19" s="6" t="n">
        <v>0.049324348614334</v>
      </c>
      <c r="U19" s="7">
        <f>S19*T19</f>
        <v/>
      </c>
      <c r="V19" s="7">
        <f>'Entity TB (LCY)'!J19</f>
        <v/>
      </c>
      <c r="W19" s="6" t="n">
        <v>4.627587395916805</v>
      </c>
      <c r="X19" s="7">
        <f>V19*W19</f>
        <v/>
      </c>
      <c r="Y19" s="7">
        <f>'Entity TB (LCY)'!K19</f>
        <v/>
      </c>
      <c r="Z19" s="6" t="n">
        <v>3.672500056858015</v>
      </c>
      <c r="AA19" s="7">
        <f>Y19*Z19</f>
        <v/>
      </c>
      <c r="AB19" s="7">
        <f>'Entity TB (LCY)'!L19</f>
        <v/>
      </c>
      <c r="AC19" s="6" t="n">
        <v>1</v>
      </c>
      <c r="AD19" s="7">
        <f>AB19*AC19</f>
        <v/>
      </c>
    </row>
    <row r="20">
      <c r="A20" t="n">
        <v>6700</v>
      </c>
      <c r="B20" t="inlineStr">
        <is>
          <t>Other operating costs</t>
        </is>
      </c>
      <c r="C20" t="inlineStr">
        <is>
          <t>Average</t>
        </is>
      </c>
      <c r="D20" s="7">
        <f>'Entity TB (LCY)'!D20</f>
        <v/>
      </c>
      <c r="E20" s="6" t="n">
        <v>1</v>
      </c>
      <c r="F20" s="7">
        <f>D20*E20</f>
        <v/>
      </c>
      <c r="G20" s="7">
        <f>'Entity TB (LCY)'!E20</f>
        <v/>
      </c>
      <c r="H20" s="6" t="n">
        <v>0.9793333206248721</v>
      </c>
      <c r="I20" s="7">
        <f>G20*H20</f>
        <v/>
      </c>
      <c r="J20" s="7">
        <f>'Entity TB (LCY)'!F20</f>
        <v/>
      </c>
      <c r="K20" s="6" t="n">
        <v>1.008928560572661</v>
      </c>
      <c r="L20" s="7">
        <f>J20*K20</f>
        <v/>
      </c>
      <c r="M20" s="7">
        <f>'Entity TB (LCY)'!G20</f>
        <v/>
      </c>
      <c r="N20" s="6" t="n">
        <v>11.91576144360538</v>
      </c>
      <c r="O20" s="7">
        <f>M20*N20</f>
        <v/>
      </c>
      <c r="P20" s="7">
        <f>'Entity TB (LCY)'!H20</f>
        <v/>
      </c>
      <c r="Q20" s="6" t="n">
        <v>0.01211421494534828</v>
      </c>
      <c r="R20" s="7">
        <f>P20*Q20</f>
        <v/>
      </c>
      <c r="S20" s="7">
        <f>'Entity TB (LCY)'!I20</f>
        <v/>
      </c>
      <c r="T20" s="6" t="n">
        <v>0.04929456782838141</v>
      </c>
      <c r="U20" s="7">
        <f>S20*T20</f>
        <v/>
      </c>
      <c r="V20" s="7">
        <f>'Entity TB (LCY)'!J20</f>
        <v/>
      </c>
      <c r="W20" s="6" t="n">
        <v>4.641310997787152</v>
      </c>
      <c r="X20" s="7">
        <f>V20*W20</f>
        <v/>
      </c>
      <c r="Y20" s="7">
        <f>'Entity TB (LCY)'!K20</f>
        <v/>
      </c>
      <c r="Z20" s="6" t="n">
        <v>3.67250000405404</v>
      </c>
      <c r="AA20" s="7">
        <f>Y20*Z20</f>
        <v/>
      </c>
      <c r="AB20" s="7">
        <f>'Entity TB (LCY)'!L20</f>
        <v/>
      </c>
      <c r="AC20" s="6" t="n">
        <v>1</v>
      </c>
      <c r="AD20" s="7">
        <f>AB20*AC20</f>
        <v/>
      </c>
    </row>
    <row r="21">
      <c r="A21" t="n">
        <v>6800</v>
      </c>
      <c r="B21" t="inlineStr">
        <is>
          <t>Head office staff</t>
        </is>
      </c>
      <c r="C21" t="inlineStr">
        <is>
          <t>Average</t>
        </is>
      </c>
      <c r="D21" s="7">
        <f>'Entity TB (LCY)'!D21</f>
        <v/>
      </c>
      <c r="E21" s="6" t="n">
        <v>1</v>
      </c>
      <c r="F21" s="7">
        <f>D21*E21</f>
        <v/>
      </c>
      <c r="G21" s="7">
        <f>'Entity TB (LCY)'!E21</f>
        <v/>
      </c>
      <c r="H21" s="6" t="n">
        <v>0</v>
      </c>
      <c r="I21" s="7">
        <f>G21*H21</f>
        <v/>
      </c>
      <c r="J21" s="7">
        <f>'Entity TB (LCY)'!F21</f>
        <v/>
      </c>
      <c r="K21" s="6" t="n">
        <v>0</v>
      </c>
      <c r="L21" s="7">
        <f>J21*K21</f>
        <v/>
      </c>
      <c r="M21" s="7">
        <f>'Entity TB (LCY)'!G21</f>
        <v/>
      </c>
      <c r="N21" s="6" t="n">
        <v>0</v>
      </c>
      <c r="O21" s="7">
        <f>M21*N21</f>
        <v/>
      </c>
      <c r="P21" s="7">
        <f>'Entity TB (LCY)'!H21</f>
        <v/>
      </c>
      <c r="Q21" s="6" t="n">
        <v>0</v>
      </c>
      <c r="R21" s="7">
        <f>P21*Q21</f>
        <v/>
      </c>
      <c r="S21" s="7">
        <f>'Entity TB (LCY)'!I21</f>
        <v/>
      </c>
      <c r="T21" s="6" t="n">
        <v>0</v>
      </c>
      <c r="U21" s="7">
        <f>S21*T21</f>
        <v/>
      </c>
      <c r="V21" s="7">
        <f>'Entity TB (LCY)'!J21</f>
        <v/>
      </c>
      <c r="W21" s="6" t="n">
        <v>0</v>
      </c>
      <c r="X21" s="7">
        <f>V21*W21</f>
        <v/>
      </c>
      <c r="Y21" s="7">
        <f>'Entity TB (LCY)'!K21</f>
        <v/>
      </c>
      <c r="Z21" s="6" t="n">
        <v>0</v>
      </c>
      <c r="AA21" s="7">
        <f>Y21*Z21</f>
        <v/>
      </c>
      <c r="AB21" s="7">
        <f>'Entity TB (LCY)'!L21</f>
        <v/>
      </c>
      <c r="AC21" s="6" t="n">
        <v>1</v>
      </c>
      <c r="AD21" s="7">
        <f>AB21*AC21</f>
        <v/>
      </c>
    </row>
    <row r="22">
      <c r="A22" t="n">
        <v>6810</v>
      </c>
      <c r="B22" t="inlineStr">
        <is>
          <t>Head office other costs</t>
        </is>
      </c>
      <c r="C22" t="inlineStr">
        <is>
          <t>Average</t>
        </is>
      </c>
      <c r="D22" s="7">
        <f>'Entity TB (LCY)'!D22</f>
        <v/>
      </c>
      <c r="E22" s="6" t="n">
        <v>1</v>
      </c>
      <c r="F22" s="7">
        <f>D22*E22</f>
        <v/>
      </c>
      <c r="G22" s="7">
        <f>'Entity TB (LCY)'!E22</f>
        <v/>
      </c>
      <c r="H22" s="6" t="n">
        <v>0</v>
      </c>
      <c r="I22" s="7">
        <f>G22*H22</f>
        <v/>
      </c>
      <c r="J22" s="7">
        <f>'Entity TB (LCY)'!F22</f>
        <v/>
      </c>
      <c r="K22" s="6" t="n">
        <v>0</v>
      </c>
      <c r="L22" s="7">
        <f>J22*K22</f>
        <v/>
      </c>
      <c r="M22" s="7">
        <f>'Entity TB (LCY)'!G22</f>
        <v/>
      </c>
      <c r="N22" s="6" t="n">
        <v>0</v>
      </c>
      <c r="O22" s="7">
        <f>M22*N22</f>
        <v/>
      </c>
      <c r="P22" s="7">
        <f>'Entity TB (LCY)'!H22</f>
        <v/>
      </c>
      <c r="Q22" s="6" t="n">
        <v>0</v>
      </c>
      <c r="R22" s="7">
        <f>P22*Q22</f>
        <v/>
      </c>
      <c r="S22" s="7">
        <f>'Entity TB (LCY)'!I22</f>
        <v/>
      </c>
      <c r="T22" s="6" t="n">
        <v>0</v>
      </c>
      <c r="U22" s="7">
        <f>S22*T22</f>
        <v/>
      </c>
      <c r="V22" s="7">
        <f>'Entity TB (LCY)'!J22</f>
        <v/>
      </c>
      <c r="W22" s="6" t="n">
        <v>0</v>
      </c>
      <c r="X22" s="7">
        <f>V22*W22</f>
        <v/>
      </c>
      <c r="Y22" s="7">
        <f>'Entity TB (LCY)'!K22</f>
        <v/>
      </c>
      <c r="Z22" s="6" t="n">
        <v>0</v>
      </c>
      <c r="AA22" s="7">
        <f>Y22*Z22</f>
        <v/>
      </c>
      <c r="AB22" s="7">
        <f>'Entity TB (LCY)'!L22</f>
        <v/>
      </c>
      <c r="AC22" s="6" t="n">
        <v>1</v>
      </c>
      <c r="AD22" s="7">
        <f>AB22*AC22</f>
        <v/>
      </c>
    </row>
    <row r="23">
      <c r="A23" t="n">
        <v>4800</v>
      </c>
      <c r="B23" t="inlineStr">
        <is>
          <t>Management fee income (intercompany)</t>
        </is>
      </c>
      <c r="C23" t="inlineStr">
        <is>
          <t>Average</t>
        </is>
      </c>
      <c r="D23" s="7">
        <f>'Entity TB (LCY)'!D23</f>
        <v/>
      </c>
      <c r="E23" s="6" t="n">
        <v>1</v>
      </c>
      <c r="F23" s="7">
        <f>D23*E23</f>
        <v/>
      </c>
      <c r="G23" s="7">
        <f>'Entity TB (LCY)'!E23</f>
        <v/>
      </c>
      <c r="H23" s="6" t="n">
        <v>0</v>
      </c>
      <c r="I23" s="7">
        <f>G23*H23</f>
        <v/>
      </c>
      <c r="J23" s="7">
        <f>'Entity TB (LCY)'!F23</f>
        <v/>
      </c>
      <c r="K23" s="6" t="n">
        <v>0</v>
      </c>
      <c r="L23" s="7">
        <f>J23*K23</f>
        <v/>
      </c>
      <c r="M23" s="7">
        <f>'Entity TB (LCY)'!G23</f>
        <v/>
      </c>
      <c r="N23" s="6" t="n">
        <v>0</v>
      </c>
      <c r="O23" s="7">
        <f>M23*N23</f>
        <v/>
      </c>
      <c r="P23" s="7">
        <f>'Entity TB (LCY)'!H23</f>
        <v/>
      </c>
      <c r="Q23" s="6" t="n">
        <v>0</v>
      </c>
      <c r="R23" s="7">
        <f>P23*Q23</f>
        <v/>
      </c>
      <c r="S23" s="7">
        <f>'Entity TB (LCY)'!I23</f>
        <v/>
      </c>
      <c r="T23" s="6" t="n">
        <v>0</v>
      </c>
      <c r="U23" s="7">
        <f>S23*T23</f>
        <v/>
      </c>
      <c r="V23" s="7">
        <f>'Entity TB (LCY)'!J23</f>
        <v/>
      </c>
      <c r="W23" s="6" t="n">
        <v>0</v>
      </c>
      <c r="X23" s="7">
        <f>V23*W23</f>
        <v/>
      </c>
      <c r="Y23" s="7">
        <f>'Entity TB (LCY)'!K23</f>
        <v/>
      </c>
      <c r="Z23" s="6" t="n">
        <v>0</v>
      </c>
      <c r="AA23" s="7">
        <f>Y23*Z23</f>
        <v/>
      </c>
      <c r="AB23" s="7">
        <f>'Entity TB (LCY)'!L23</f>
        <v/>
      </c>
      <c r="AC23" s="6" t="n">
        <v>1</v>
      </c>
      <c r="AD23" s="7">
        <f>AB23*AC23</f>
        <v/>
      </c>
    </row>
    <row r="24">
      <c r="A24" t="n">
        <v>6500</v>
      </c>
      <c r="B24" t="inlineStr">
        <is>
          <t>Management fee expense (intercompany)</t>
        </is>
      </c>
      <c r="C24" t="inlineStr">
        <is>
          <t>Average</t>
        </is>
      </c>
      <c r="D24" s="7">
        <f>'Entity TB (LCY)'!D24</f>
        <v/>
      </c>
      <c r="E24" s="6" t="n">
        <v>1</v>
      </c>
      <c r="F24" s="7">
        <f>D24*E24</f>
        <v/>
      </c>
      <c r="G24" s="7">
        <f>'Entity TB (LCY)'!E24</f>
        <v/>
      </c>
      <c r="H24" s="6" t="n">
        <v>0.9793333260254655</v>
      </c>
      <c r="I24" s="7">
        <f>G24*H24</f>
        <v/>
      </c>
      <c r="J24" s="7">
        <f>'Entity TB (LCY)'!F24</f>
        <v/>
      </c>
      <c r="K24" s="6" t="n">
        <v>1.008928594881909</v>
      </c>
      <c r="L24" s="7">
        <f>J24*K24</f>
        <v/>
      </c>
      <c r="M24" s="7">
        <f>'Entity TB (LCY)'!G24</f>
        <v/>
      </c>
      <c r="N24" s="6" t="n">
        <v>11.91583235053943</v>
      </c>
      <c r="O24" s="7">
        <f>M24*N24</f>
        <v/>
      </c>
      <c r="P24" s="7">
        <f>'Entity TB (LCY)'!H24</f>
        <v/>
      </c>
      <c r="Q24" s="6" t="n">
        <v>0.0121110797652921</v>
      </c>
      <c r="R24" s="7">
        <f>P24*Q24</f>
        <v/>
      </c>
      <c r="S24" s="7">
        <f>'Entity TB (LCY)'!I24</f>
        <v/>
      </c>
      <c r="T24" s="6" t="n">
        <v>0.04924290714310622</v>
      </c>
      <c r="U24" s="7">
        <f>S24*T24</f>
        <v/>
      </c>
      <c r="V24" s="7">
        <f>'Entity TB (LCY)'!J24</f>
        <v/>
      </c>
      <c r="W24" s="6" t="n">
        <v>4.642792926721535</v>
      </c>
      <c r="X24" s="7">
        <f>V24*W24</f>
        <v/>
      </c>
      <c r="Y24" s="7">
        <f>'Entity TB (LCY)'!K24</f>
        <v/>
      </c>
      <c r="Z24" s="6" t="n">
        <v>3.672500041096623</v>
      </c>
      <c r="AA24" s="7">
        <f>Y24*Z24</f>
        <v/>
      </c>
      <c r="AB24" s="7">
        <f>'Entity TB (LCY)'!L24</f>
        <v/>
      </c>
      <c r="AC24" s="6" t="n">
        <v>1</v>
      </c>
      <c r="AD24" s="7">
        <f>AB24*AC24</f>
        <v/>
      </c>
    </row>
    <row r="25">
      <c r="A25" t="n">
        <v>7000</v>
      </c>
      <c r="B25" t="inlineStr">
        <is>
          <t>Depreciation &amp; amortisation</t>
        </is>
      </c>
      <c r="C25" t="inlineStr">
        <is>
          <t>Average</t>
        </is>
      </c>
      <c r="D25" s="7">
        <f>'Entity TB (LCY)'!D25</f>
        <v/>
      </c>
      <c r="E25" s="6" t="n">
        <v>1</v>
      </c>
      <c r="F25" s="7">
        <f>D25*E25</f>
        <v/>
      </c>
      <c r="G25" s="7">
        <f>'Entity TB (LCY)'!E25</f>
        <v/>
      </c>
      <c r="H25" s="6" t="n">
        <v>0.979333327143011</v>
      </c>
      <c r="I25" s="7">
        <f>G25*H25</f>
        <v/>
      </c>
      <c r="J25" s="7">
        <f>'Entity TB (LCY)'!F25</f>
        <v/>
      </c>
      <c r="K25" s="6" t="n">
        <v>1.008928565226256</v>
      </c>
      <c r="L25" s="7">
        <f>J25*K25</f>
        <v/>
      </c>
      <c r="M25" s="7">
        <f>'Entity TB (LCY)'!G25</f>
        <v/>
      </c>
      <c r="N25" s="6" t="n">
        <v>11.91565489538905</v>
      </c>
      <c r="O25" s="7">
        <f>M25*N25</f>
        <v/>
      </c>
      <c r="P25" s="7">
        <f>'Entity TB (LCY)'!H25</f>
        <v/>
      </c>
      <c r="Q25" s="6" t="n">
        <v>0.01211689542919477</v>
      </c>
      <c r="R25" s="7">
        <f>P25*Q25</f>
        <v/>
      </c>
      <c r="S25" s="7">
        <f>'Entity TB (LCY)'!I25</f>
        <v/>
      </c>
      <c r="T25" s="6" t="n">
        <v>0.04928442229294189</v>
      </c>
      <c r="U25" s="7">
        <f>S25*T25</f>
        <v/>
      </c>
      <c r="V25" s="7">
        <f>'Entity TB (LCY)'!J25</f>
        <v/>
      </c>
      <c r="W25" s="6" t="n">
        <v>4.647999978625885</v>
      </c>
      <c r="X25" s="7">
        <f>V25*W25</f>
        <v/>
      </c>
      <c r="Y25" s="7">
        <f>'Entity TB (LCY)'!K25</f>
        <v/>
      </c>
      <c r="Z25" s="6" t="n">
        <v>3.672500063223185</v>
      </c>
      <c r="AA25" s="7">
        <f>Y25*Z25</f>
        <v/>
      </c>
      <c r="AB25" s="7">
        <f>'Entity TB (LCY)'!L25</f>
        <v/>
      </c>
      <c r="AC25" s="6" t="n">
        <v>1</v>
      </c>
      <c r="AD25" s="7">
        <f>AB25*AC25</f>
        <v/>
      </c>
    </row>
    <row r="26">
      <c r="A26" t="n">
        <v>7100</v>
      </c>
      <c r="B26" t="inlineStr">
        <is>
          <t>Finance costs</t>
        </is>
      </c>
      <c r="C26" t="inlineStr">
        <is>
          <t>Average</t>
        </is>
      </c>
      <c r="D26" s="7">
        <f>'Entity TB (LCY)'!D26</f>
        <v/>
      </c>
      <c r="E26" s="6" t="n">
        <v>1</v>
      </c>
      <c r="F26" s="7">
        <f>D26*E26</f>
        <v/>
      </c>
      <c r="G26" s="7">
        <f>'Entity TB (LCY)'!E26</f>
        <v/>
      </c>
      <c r="H26" s="6" t="n">
        <v>0.9793333373857472</v>
      </c>
      <c r="I26" s="7">
        <f>G26*H26</f>
        <v/>
      </c>
      <c r="J26" s="7">
        <f>'Entity TB (LCY)'!F26</f>
        <v/>
      </c>
      <c r="K26" s="6" t="n">
        <v>0</v>
      </c>
      <c r="L26" s="7">
        <f>J26*K26</f>
        <v/>
      </c>
      <c r="M26" s="7">
        <f>'Entity TB (LCY)'!G26</f>
        <v/>
      </c>
      <c r="N26" s="6" t="n">
        <v>0</v>
      </c>
      <c r="O26" s="7">
        <f>M26*N26</f>
        <v/>
      </c>
      <c r="P26" s="7">
        <f>'Entity TB (LCY)'!H26</f>
        <v/>
      </c>
      <c r="Q26" s="6" t="n">
        <v>0.01214701964887264</v>
      </c>
      <c r="R26" s="7">
        <f>P26*Q26</f>
        <v/>
      </c>
      <c r="S26" s="7">
        <f>'Entity TB (LCY)'!I26</f>
        <v/>
      </c>
      <c r="T26" s="6" t="n">
        <v>0</v>
      </c>
      <c r="U26" s="7">
        <f>S26*T26</f>
        <v/>
      </c>
      <c r="V26" s="7">
        <f>'Entity TB (LCY)'!J26</f>
        <v/>
      </c>
      <c r="W26" s="6" t="n">
        <v>4.654221156571743</v>
      </c>
      <c r="X26" s="7">
        <f>V26*W26</f>
        <v/>
      </c>
      <c r="Y26" s="7">
        <f>'Entity TB (LCY)'!K26</f>
        <v/>
      </c>
      <c r="Z26" s="6" t="n">
        <v>3.672500065771137</v>
      </c>
      <c r="AA26" s="7">
        <f>Y26*Z26</f>
        <v/>
      </c>
      <c r="AB26" s="7">
        <f>'Entity TB (LCY)'!L26</f>
        <v/>
      </c>
      <c r="AC26" s="6" t="n">
        <v>1</v>
      </c>
      <c r="AD26" s="7">
        <f>AB26*AC26</f>
        <v/>
      </c>
    </row>
    <row r="27">
      <c r="A27" t="n">
        <v>7200</v>
      </c>
      <c r="B27" t="inlineStr">
        <is>
          <t>Income tax</t>
        </is>
      </c>
      <c r="C27" t="inlineStr">
        <is>
          <t>Average</t>
        </is>
      </c>
      <c r="D27" s="7">
        <f>'Entity TB (LCY)'!D27</f>
        <v/>
      </c>
      <c r="E27" s="6" t="n">
        <v>1</v>
      </c>
      <c r="F27" s="7">
        <f>D27*E27</f>
        <v/>
      </c>
      <c r="G27" s="7">
        <f>'Entity TB (LCY)'!E27</f>
        <v/>
      </c>
      <c r="H27" s="6" t="n">
        <v>0.9793333053721274</v>
      </c>
      <c r="I27" s="7">
        <f>G27*H27</f>
        <v/>
      </c>
      <c r="J27" s="7">
        <f>'Entity TB (LCY)'!F27</f>
        <v/>
      </c>
      <c r="K27" s="6" t="n">
        <v>1.008928750964997</v>
      </c>
      <c r="L27" s="7">
        <f>J27*K27</f>
        <v/>
      </c>
      <c r="M27" s="7">
        <f>'Entity TB (LCY)'!G27</f>
        <v/>
      </c>
      <c r="N27" s="6" t="n">
        <v>11.91658081983518</v>
      </c>
      <c r="O27" s="7">
        <f>M27*N27</f>
        <v/>
      </c>
      <c r="P27" s="7">
        <f>'Entity TB (LCY)'!H27</f>
        <v/>
      </c>
      <c r="Q27" s="6" t="n">
        <v>0.01208910416957438</v>
      </c>
      <c r="R27" s="7">
        <f>P27*Q27</f>
        <v/>
      </c>
      <c r="S27" s="7">
        <f>'Entity TB (LCY)'!I27</f>
        <v/>
      </c>
      <c r="T27" s="6" t="n">
        <v>0.04839592806126276</v>
      </c>
      <c r="U27" s="7">
        <f>S27*T27</f>
        <v/>
      </c>
      <c r="V27" s="7">
        <f>'Entity TB (LCY)'!J27</f>
        <v/>
      </c>
      <c r="W27" s="6" t="n">
        <v>4.598361375970671</v>
      </c>
      <c r="X27" s="7">
        <f>V27*W27</f>
        <v/>
      </c>
      <c r="Y27" s="7">
        <f>'Entity TB (LCY)'!K27</f>
        <v/>
      </c>
      <c r="Z27" s="6" t="n">
        <v>3.67250224968344</v>
      </c>
      <c r="AA27" s="7">
        <f>Y27*Z27</f>
        <v/>
      </c>
      <c r="AB27" s="7">
        <f>'Entity TB (LCY)'!L27</f>
        <v/>
      </c>
      <c r="AC27" s="6" t="n">
        <v>1</v>
      </c>
      <c r="AD27" s="7">
        <f>AB27*AC27</f>
        <v/>
      </c>
    </row>
    <row r="28">
      <c r="A28" t="n">
        <v>1000</v>
      </c>
      <c r="B28" t="inlineStr">
        <is>
          <t>Cash &amp; bank</t>
        </is>
      </c>
      <c r="C28" t="inlineStr">
        <is>
          <t>Closing</t>
        </is>
      </c>
      <c r="D28" s="7">
        <f>'Entity TB (LCY)'!D28</f>
        <v/>
      </c>
      <c r="E28" s="6" t="n">
        <v>1</v>
      </c>
      <c r="F28" s="7">
        <f>D28*E28</f>
        <v/>
      </c>
      <c r="G28" s="7">
        <f>'Entity TB (LCY)'!E28</f>
        <v/>
      </c>
      <c r="H28" s="6">
        <f>'FX Rates'!I26</f>
        <v/>
      </c>
      <c r="I28" s="7">
        <f>G28*H28</f>
        <v/>
      </c>
      <c r="J28" s="7">
        <f>'Entity TB (LCY)'!F28</f>
        <v/>
      </c>
      <c r="K28" s="6">
        <f>'FX Rates'!J26</f>
        <v/>
      </c>
      <c r="L28" s="7">
        <f>J28*K28</f>
        <v/>
      </c>
      <c r="M28" s="7">
        <f>'Entity TB (LCY)'!G28</f>
        <v/>
      </c>
      <c r="N28" s="6">
        <f>'FX Rates'!K26</f>
        <v/>
      </c>
      <c r="O28" s="7">
        <f>M28*N28</f>
        <v/>
      </c>
      <c r="P28" s="7">
        <f>'Entity TB (LCY)'!H28</f>
        <v/>
      </c>
      <c r="Q28" s="6">
        <f>'FX Rates'!L26</f>
        <v/>
      </c>
      <c r="R28" s="7">
        <f>P28*Q28</f>
        <v/>
      </c>
      <c r="S28" s="7">
        <f>'Entity TB (LCY)'!I28</f>
        <v/>
      </c>
      <c r="T28" s="6">
        <f>'FX Rates'!M26</f>
        <v/>
      </c>
      <c r="U28" s="7">
        <f>S28*T28</f>
        <v/>
      </c>
      <c r="V28" s="7">
        <f>'Entity TB (LCY)'!J28</f>
        <v/>
      </c>
      <c r="W28" s="6">
        <f>'FX Rates'!N26</f>
        <v/>
      </c>
      <c r="X28" s="7">
        <f>V28*W28</f>
        <v/>
      </c>
      <c r="Y28" s="7">
        <f>'Entity TB (LCY)'!K28</f>
        <v/>
      </c>
      <c r="Z28" s="6">
        <f>'FX Rates'!O26</f>
        <v/>
      </c>
      <c r="AA28" s="7">
        <f>Y28*Z28</f>
        <v/>
      </c>
      <c r="AB28" s="7">
        <f>'Entity TB (LCY)'!L28</f>
        <v/>
      </c>
      <c r="AC28" s="6" t="n">
        <v>1</v>
      </c>
      <c r="AD28" s="7">
        <f>AB28*AC28</f>
        <v/>
      </c>
    </row>
    <row r="29">
      <c r="A29" t="n">
        <v>1100</v>
      </c>
      <c r="B29" t="inlineStr">
        <is>
          <t>Insurance receivables</t>
        </is>
      </c>
      <c r="C29" t="inlineStr">
        <is>
          <t>Closing</t>
        </is>
      </c>
      <c r="D29" s="7">
        <f>'Entity TB (LCY)'!D29</f>
        <v/>
      </c>
      <c r="E29" s="6" t="n">
        <v>1</v>
      </c>
      <c r="F29" s="7">
        <f>D29*E29</f>
        <v/>
      </c>
      <c r="G29" s="7">
        <f>'Entity TB (LCY)'!E29</f>
        <v/>
      </c>
      <c r="H29" s="6">
        <f>'FX Rates'!I26</f>
        <v/>
      </c>
      <c r="I29" s="7">
        <f>G29*H29</f>
        <v/>
      </c>
      <c r="J29" s="7">
        <f>'Entity TB (LCY)'!F29</f>
        <v/>
      </c>
      <c r="K29" s="6">
        <f>'FX Rates'!J26</f>
        <v/>
      </c>
      <c r="L29" s="7">
        <f>J29*K29</f>
        <v/>
      </c>
      <c r="M29" s="7">
        <f>'Entity TB (LCY)'!G29</f>
        <v/>
      </c>
      <c r="N29" s="6">
        <f>'FX Rates'!K26</f>
        <v/>
      </c>
      <c r="O29" s="7">
        <f>M29*N29</f>
        <v/>
      </c>
      <c r="P29" s="7">
        <f>'Entity TB (LCY)'!H29</f>
        <v/>
      </c>
      <c r="Q29" s="6">
        <f>'FX Rates'!L26</f>
        <v/>
      </c>
      <c r="R29" s="7">
        <f>P29*Q29</f>
        <v/>
      </c>
      <c r="S29" s="7">
        <f>'Entity TB (LCY)'!I29</f>
        <v/>
      </c>
      <c r="T29" s="6">
        <f>'FX Rates'!M26</f>
        <v/>
      </c>
      <c r="U29" s="7">
        <f>S29*T29</f>
        <v/>
      </c>
      <c r="V29" s="7">
        <f>'Entity TB (LCY)'!J29</f>
        <v/>
      </c>
      <c r="W29" s="6">
        <f>'FX Rates'!N26</f>
        <v/>
      </c>
      <c r="X29" s="7">
        <f>V29*W29</f>
        <v/>
      </c>
      <c r="Y29" s="7">
        <f>'Entity TB (LCY)'!K29</f>
        <v/>
      </c>
      <c r="Z29" s="6">
        <f>'FX Rates'!O26</f>
        <v/>
      </c>
      <c r="AA29" s="7">
        <f>Y29*Z29</f>
        <v/>
      </c>
      <c r="AB29" s="7">
        <f>'Entity TB (LCY)'!L29</f>
        <v/>
      </c>
      <c r="AC29" s="6" t="n">
        <v>1</v>
      </c>
      <c r="AD29" s="7">
        <f>AB29*AC29</f>
        <v/>
      </c>
    </row>
    <row r="30">
      <c r="A30" t="n">
        <v>1200</v>
      </c>
      <c r="B30" t="inlineStr">
        <is>
          <t>Inventory (medical &amp; pharmacy)</t>
        </is>
      </c>
      <c r="C30" t="inlineStr">
        <is>
          <t>Closing</t>
        </is>
      </c>
      <c r="D30" s="7">
        <f>'Entity TB (LCY)'!D30</f>
        <v/>
      </c>
      <c r="E30" s="6" t="n">
        <v>1</v>
      </c>
      <c r="F30" s="7">
        <f>D30*E30</f>
        <v/>
      </c>
      <c r="G30" s="7">
        <f>'Entity TB (LCY)'!E30</f>
        <v/>
      </c>
      <c r="H30" s="6">
        <f>'FX Rates'!I26</f>
        <v/>
      </c>
      <c r="I30" s="7">
        <f>G30*H30</f>
        <v/>
      </c>
      <c r="J30" s="7">
        <f>'Entity TB (LCY)'!F30</f>
        <v/>
      </c>
      <c r="K30" s="6">
        <f>'FX Rates'!J26</f>
        <v/>
      </c>
      <c r="L30" s="7">
        <f>J30*K30</f>
        <v/>
      </c>
      <c r="M30" s="7">
        <f>'Entity TB (LCY)'!G30</f>
        <v/>
      </c>
      <c r="N30" s="6">
        <f>'FX Rates'!K26</f>
        <v/>
      </c>
      <c r="O30" s="7">
        <f>M30*N30</f>
        <v/>
      </c>
      <c r="P30" s="7">
        <f>'Entity TB (LCY)'!H30</f>
        <v/>
      </c>
      <c r="Q30" s="6">
        <f>'FX Rates'!L26</f>
        <v/>
      </c>
      <c r="R30" s="7">
        <f>P30*Q30</f>
        <v/>
      </c>
      <c r="S30" s="7">
        <f>'Entity TB (LCY)'!I30</f>
        <v/>
      </c>
      <c r="T30" s="6">
        <f>'FX Rates'!M26</f>
        <v/>
      </c>
      <c r="U30" s="7">
        <f>S30*T30</f>
        <v/>
      </c>
      <c r="V30" s="7">
        <f>'Entity TB (LCY)'!J30</f>
        <v/>
      </c>
      <c r="W30" s="6">
        <f>'FX Rates'!N26</f>
        <v/>
      </c>
      <c r="X30" s="7">
        <f>V30*W30</f>
        <v/>
      </c>
      <c r="Y30" s="7">
        <f>'Entity TB (LCY)'!K30</f>
        <v/>
      </c>
      <c r="Z30" s="6">
        <f>'FX Rates'!O26</f>
        <v/>
      </c>
      <c r="AA30" s="7">
        <f>Y30*Z30</f>
        <v/>
      </c>
      <c r="AB30" s="7">
        <f>'Entity TB (LCY)'!L30</f>
        <v/>
      </c>
      <c r="AC30" s="6" t="n">
        <v>1</v>
      </c>
      <c r="AD30" s="7">
        <f>AB30*AC30</f>
        <v/>
      </c>
    </row>
    <row r="31">
      <c r="A31" t="n">
        <v>1300</v>
      </c>
      <c r="B31" t="inlineStr">
        <is>
          <t>Prepayments &amp; deposits</t>
        </is>
      </c>
      <c r="C31" t="inlineStr">
        <is>
          <t>Closing</t>
        </is>
      </c>
      <c r="D31" s="7">
        <f>'Entity TB (LCY)'!D31</f>
        <v/>
      </c>
      <c r="E31" s="6" t="n">
        <v>1</v>
      </c>
      <c r="F31" s="7">
        <f>D31*E31</f>
        <v/>
      </c>
      <c r="G31" s="7">
        <f>'Entity TB (LCY)'!E31</f>
        <v/>
      </c>
      <c r="H31" s="6">
        <f>'FX Rates'!I26</f>
        <v/>
      </c>
      <c r="I31" s="7">
        <f>G31*H31</f>
        <v/>
      </c>
      <c r="J31" s="7">
        <f>'Entity TB (LCY)'!F31</f>
        <v/>
      </c>
      <c r="K31" s="6">
        <f>'FX Rates'!J26</f>
        <v/>
      </c>
      <c r="L31" s="7">
        <f>J31*K31</f>
        <v/>
      </c>
      <c r="M31" s="7">
        <f>'Entity TB (LCY)'!G31</f>
        <v/>
      </c>
      <c r="N31" s="6">
        <f>'FX Rates'!K26</f>
        <v/>
      </c>
      <c r="O31" s="7">
        <f>M31*N31</f>
        <v/>
      </c>
      <c r="P31" s="7">
        <f>'Entity TB (LCY)'!H31</f>
        <v/>
      </c>
      <c r="Q31" s="6">
        <f>'FX Rates'!L26</f>
        <v/>
      </c>
      <c r="R31" s="7">
        <f>P31*Q31</f>
        <v/>
      </c>
      <c r="S31" s="7">
        <f>'Entity TB (LCY)'!I31</f>
        <v/>
      </c>
      <c r="T31" s="6">
        <f>'FX Rates'!M26</f>
        <v/>
      </c>
      <c r="U31" s="7">
        <f>S31*T31</f>
        <v/>
      </c>
      <c r="V31" s="7">
        <f>'Entity TB (LCY)'!J31</f>
        <v/>
      </c>
      <c r="W31" s="6">
        <f>'FX Rates'!N26</f>
        <v/>
      </c>
      <c r="X31" s="7">
        <f>V31*W31</f>
        <v/>
      </c>
      <c r="Y31" s="7">
        <f>'Entity TB (LCY)'!K31</f>
        <v/>
      </c>
      <c r="Z31" s="6">
        <f>'FX Rates'!O26</f>
        <v/>
      </c>
      <c r="AA31" s="7">
        <f>Y31*Z31</f>
        <v/>
      </c>
      <c r="AB31" s="7">
        <f>'Entity TB (LCY)'!L31</f>
        <v/>
      </c>
      <c r="AC31" s="6" t="n">
        <v>1</v>
      </c>
      <c r="AD31" s="7">
        <f>AB31*AC31</f>
        <v/>
      </c>
    </row>
    <row r="32">
      <c r="A32" t="n">
        <v>1400</v>
      </c>
      <c r="B32" t="inlineStr">
        <is>
          <t>Property, plant &amp; equipment</t>
        </is>
      </c>
      <c r="C32" t="inlineStr">
        <is>
          <t>Closing</t>
        </is>
      </c>
      <c r="D32" s="7">
        <f>'Entity TB (LCY)'!D32</f>
        <v/>
      </c>
      <c r="E32" s="6" t="n">
        <v>1</v>
      </c>
      <c r="F32" s="7">
        <f>D32*E32</f>
        <v/>
      </c>
      <c r="G32" s="7">
        <f>'Entity TB (LCY)'!E32</f>
        <v/>
      </c>
      <c r="H32" s="6">
        <f>'FX Rates'!I26</f>
        <v/>
      </c>
      <c r="I32" s="7">
        <f>G32*H32</f>
        <v/>
      </c>
      <c r="J32" s="7">
        <f>'Entity TB (LCY)'!F32</f>
        <v/>
      </c>
      <c r="K32" s="6">
        <f>'FX Rates'!J26</f>
        <v/>
      </c>
      <c r="L32" s="7">
        <f>J32*K32</f>
        <v/>
      </c>
      <c r="M32" s="7">
        <f>'Entity TB (LCY)'!G32</f>
        <v/>
      </c>
      <c r="N32" s="6">
        <f>'FX Rates'!K26</f>
        <v/>
      </c>
      <c r="O32" s="7">
        <f>M32*N32</f>
        <v/>
      </c>
      <c r="P32" s="7">
        <f>'Entity TB (LCY)'!H32</f>
        <v/>
      </c>
      <c r="Q32" s="6">
        <f>'FX Rates'!L26</f>
        <v/>
      </c>
      <c r="R32" s="7">
        <f>P32*Q32</f>
        <v/>
      </c>
      <c r="S32" s="7">
        <f>'Entity TB (LCY)'!I32</f>
        <v/>
      </c>
      <c r="T32" s="6">
        <f>'FX Rates'!M26</f>
        <v/>
      </c>
      <c r="U32" s="7">
        <f>S32*T32</f>
        <v/>
      </c>
      <c r="V32" s="7">
        <f>'Entity TB (LCY)'!J32</f>
        <v/>
      </c>
      <c r="W32" s="6">
        <f>'FX Rates'!N26</f>
        <v/>
      </c>
      <c r="X32" s="7">
        <f>V32*W32</f>
        <v/>
      </c>
      <c r="Y32" s="7">
        <f>'Entity TB (LCY)'!K32</f>
        <v/>
      </c>
      <c r="Z32" s="6">
        <f>'FX Rates'!O26</f>
        <v/>
      </c>
      <c r="AA32" s="7">
        <f>Y32*Z32</f>
        <v/>
      </c>
      <c r="AB32" s="7">
        <f>'Entity TB (LCY)'!L32</f>
        <v/>
      </c>
      <c r="AC32" s="6" t="n">
        <v>1</v>
      </c>
      <c r="AD32" s="7">
        <f>AB32*AC32</f>
        <v/>
      </c>
    </row>
    <row r="33">
      <c r="A33" t="n">
        <v>1500</v>
      </c>
      <c r="B33" t="inlineStr">
        <is>
          <t>Investment in subsidiaries</t>
        </is>
      </c>
      <c r="C33" t="inlineStr">
        <is>
          <t>Historical</t>
        </is>
      </c>
      <c r="D33" s="7">
        <f>'Entity TB (LCY)'!D33</f>
        <v/>
      </c>
      <c r="E33" s="6" t="n">
        <v>1</v>
      </c>
      <c r="F33" s="7">
        <f>D33*E33</f>
        <v/>
      </c>
      <c r="G33" s="7">
        <f>'Entity TB (LCY)'!E33</f>
        <v/>
      </c>
      <c r="H33" s="6" t="n">
        <v>1</v>
      </c>
      <c r="I33" s="7">
        <f>G33*H33</f>
        <v/>
      </c>
      <c r="J33" s="7">
        <f>'Entity TB (LCY)'!F33</f>
        <v/>
      </c>
      <c r="K33" s="6" t="n">
        <v>1</v>
      </c>
      <c r="L33" s="7">
        <f>J33*K33</f>
        <v/>
      </c>
      <c r="M33" s="7">
        <f>'Entity TB (LCY)'!G33</f>
        <v/>
      </c>
      <c r="N33" s="6" t="n">
        <v>1</v>
      </c>
      <c r="O33" s="7">
        <f>M33*N33</f>
        <v/>
      </c>
      <c r="P33" s="7">
        <f>'Entity TB (LCY)'!H33</f>
        <v/>
      </c>
      <c r="Q33" s="6" t="n">
        <v>1</v>
      </c>
      <c r="R33" s="7">
        <f>P33*Q33</f>
        <v/>
      </c>
      <c r="S33" s="7">
        <f>'Entity TB (LCY)'!I33</f>
        <v/>
      </c>
      <c r="T33" s="6" t="n">
        <v>1</v>
      </c>
      <c r="U33" s="7">
        <f>S33*T33</f>
        <v/>
      </c>
      <c r="V33" s="7">
        <f>'Entity TB (LCY)'!J33</f>
        <v/>
      </c>
      <c r="W33" s="6" t="n">
        <v>1</v>
      </c>
      <c r="X33" s="7">
        <f>V33*W33</f>
        <v/>
      </c>
      <c r="Y33" s="7">
        <f>'Entity TB (LCY)'!K33</f>
        <v/>
      </c>
      <c r="Z33" s="6" t="n">
        <v>1</v>
      </c>
      <c r="AA33" s="7">
        <f>Y33*Z33</f>
        <v/>
      </c>
      <c r="AB33" s="7">
        <f>'Entity TB (LCY)'!L33</f>
        <v/>
      </c>
      <c r="AC33" s="6" t="n">
        <v>1</v>
      </c>
      <c r="AD33" s="7">
        <f>AB33*AC33</f>
        <v/>
      </c>
    </row>
    <row r="34">
      <c r="A34" t="n">
        <v>2000</v>
      </c>
      <c r="B34" t="inlineStr">
        <is>
          <t>Trade payables</t>
        </is>
      </c>
      <c r="C34" t="inlineStr">
        <is>
          <t>Closing</t>
        </is>
      </c>
      <c r="D34" s="7">
        <f>'Entity TB (LCY)'!D34</f>
        <v/>
      </c>
      <c r="E34" s="6" t="n">
        <v>1</v>
      </c>
      <c r="F34" s="7">
        <f>D34*E34</f>
        <v/>
      </c>
      <c r="G34" s="7">
        <f>'Entity TB (LCY)'!E34</f>
        <v/>
      </c>
      <c r="H34" s="6">
        <f>'FX Rates'!I26</f>
        <v/>
      </c>
      <c r="I34" s="7">
        <f>G34*H34</f>
        <v/>
      </c>
      <c r="J34" s="7">
        <f>'Entity TB (LCY)'!F34</f>
        <v/>
      </c>
      <c r="K34" s="6">
        <f>'FX Rates'!J26</f>
        <v/>
      </c>
      <c r="L34" s="7">
        <f>J34*K34</f>
        <v/>
      </c>
      <c r="M34" s="7">
        <f>'Entity TB (LCY)'!G34</f>
        <v/>
      </c>
      <c r="N34" s="6">
        <f>'FX Rates'!K26</f>
        <v/>
      </c>
      <c r="O34" s="7">
        <f>M34*N34</f>
        <v/>
      </c>
      <c r="P34" s="7">
        <f>'Entity TB (LCY)'!H34</f>
        <v/>
      </c>
      <c r="Q34" s="6">
        <f>'FX Rates'!L26</f>
        <v/>
      </c>
      <c r="R34" s="7">
        <f>P34*Q34</f>
        <v/>
      </c>
      <c r="S34" s="7">
        <f>'Entity TB (LCY)'!I34</f>
        <v/>
      </c>
      <c r="T34" s="6">
        <f>'FX Rates'!M26</f>
        <v/>
      </c>
      <c r="U34" s="7">
        <f>S34*T34</f>
        <v/>
      </c>
      <c r="V34" s="7">
        <f>'Entity TB (LCY)'!J34</f>
        <v/>
      </c>
      <c r="W34" s="6">
        <f>'FX Rates'!N26</f>
        <v/>
      </c>
      <c r="X34" s="7">
        <f>V34*W34</f>
        <v/>
      </c>
      <c r="Y34" s="7">
        <f>'Entity TB (LCY)'!K34</f>
        <v/>
      </c>
      <c r="Z34" s="6">
        <f>'FX Rates'!O26</f>
        <v/>
      </c>
      <c r="AA34" s="7">
        <f>Y34*Z34</f>
        <v/>
      </c>
      <c r="AB34" s="7">
        <f>'Entity TB (LCY)'!L34</f>
        <v/>
      </c>
      <c r="AC34" s="6" t="n">
        <v>1</v>
      </c>
      <c r="AD34" s="7">
        <f>AB34*AC34</f>
        <v/>
      </c>
    </row>
    <row r="35">
      <c r="A35" t="n">
        <v>2100</v>
      </c>
      <c r="B35" t="inlineStr">
        <is>
          <t>Accrued salaries &amp; benefits</t>
        </is>
      </c>
      <c r="C35" t="inlineStr">
        <is>
          <t>Closing</t>
        </is>
      </c>
      <c r="D35" s="7">
        <f>'Entity TB (LCY)'!D35</f>
        <v/>
      </c>
      <c r="E35" s="6" t="n">
        <v>1</v>
      </c>
      <c r="F35" s="7">
        <f>D35*E35</f>
        <v/>
      </c>
      <c r="G35" s="7">
        <f>'Entity TB (LCY)'!E35</f>
        <v/>
      </c>
      <c r="H35" s="6">
        <f>'FX Rates'!I26</f>
        <v/>
      </c>
      <c r="I35" s="7">
        <f>G35*H35</f>
        <v/>
      </c>
      <c r="J35" s="7">
        <f>'Entity TB (LCY)'!F35</f>
        <v/>
      </c>
      <c r="K35" s="6">
        <f>'FX Rates'!J26</f>
        <v/>
      </c>
      <c r="L35" s="7">
        <f>J35*K35</f>
        <v/>
      </c>
      <c r="M35" s="7">
        <f>'Entity TB (LCY)'!G35</f>
        <v/>
      </c>
      <c r="N35" s="6">
        <f>'FX Rates'!K26</f>
        <v/>
      </c>
      <c r="O35" s="7">
        <f>M35*N35</f>
        <v/>
      </c>
      <c r="P35" s="7">
        <f>'Entity TB (LCY)'!H35</f>
        <v/>
      </c>
      <c r="Q35" s="6">
        <f>'FX Rates'!L26</f>
        <v/>
      </c>
      <c r="R35" s="7">
        <f>P35*Q35</f>
        <v/>
      </c>
      <c r="S35" s="7">
        <f>'Entity TB (LCY)'!I35</f>
        <v/>
      </c>
      <c r="T35" s="6">
        <f>'FX Rates'!M26</f>
        <v/>
      </c>
      <c r="U35" s="7">
        <f>S35*T35</f>
        <v/>
      </c>
      <c r="V35" s="7">
        <f>'Entity TB (LCY)'!J35</f>
        <v/>
      </c>
      <c r="W35" s="6">
        <f>'FX Rates'!N26</f>
        <v/>
      </c>
      <c r="X35" s="7">
        <f>V35*W35</f>
        <v/>
      </c>
      <c r="Y35" s="7">
        <f>'Entity TB (LCY)'!K35</f>
        <v/>
      </c>
      <c r="Z35" s="6">
        <f>'FX Rates'!O26</f>
        <v/>
      </c>
      <c r="AA35" s="7">
        <f>Y35*Z35</f>
        <v/>
      </c>
      <c r="AB35" s="7">
        <f>'Entity TB (LCY)'!L35</f>
        <v/>
      </c>
      <c r="AC35" s="6" t="n">
        <v>1</v>
      </c>
      <c r="AD35" s="7">
        <f>AB35*AC35</f>
        <v/>
      </c>
    </row>
    <row r="36">
      <c r="A36" t="n">
        <v>2200</v>
      </c>
      <c r="B36" t="inlineStr">
        <is>
          <t>Income tax payable</t>
        </is>
      </c>
      <c r="C36" t="inlineStr">
        <is>
          <t>Closing</t>
        </is>
      </c>
      <c r="D36" s="7">
        <f>'Entity TB (LCY)'!D36</f>
        <v/>
      </c>
      <c r="E36" s="6" t="n">
        <v>1</v>
      </c>
      <c r="F36" s="7">
        <f>D36*E36</f>
        <v/>
      </c>
      <c r="G36" s="7">
        <f>'Entity TB (LCY)'!E36</f>
        <v/>
      </c>
      <c r="H36" s="6">
        <f>'FX Rates'!I26</f>
        <v/>
      </c>
      <c r="I36" s="7">
        <f>G36*H36</f>
        <v/>
      </c>
      <c r="J36" s="7">
        <f>'Entity TB (LCY)'!F36</f>
        <v/>
      </c>
      <c r="K36" s="6">
        <f>'FX Rates'!J26</f>
        <v/>
      </c>
      <c r="L36" s="7">
        <f>J36*K36</f>
        <v/>
      </c>
      <c r="M36" s="7">
        <f>'Entity TB (LCY)'!G36</f>
        <v/>
      </c>
      <c r="N36" s="6">
        <f>'FX Rates'!K26</f>
        <v/>
      </c>
      <c r="O36" s="7">
        <f>M36*N36</f>
        <v/>
      </c>
      <c r="P36" s="7">
        <f>'Entity TB (LCY)'!H36</f>
        <v/>
      </c>
      <c r="Q36" s="6">
        <f>'FX Rates'!L26</f>
        <v/>
      </c>
      <c r="R36" s="7">
        <f>P36*Q36</f>
        <v/>
      </c>
      <c r="S36" s="7">
        <f>'Entity TB (LCY)'!I36</f>
        <v/>
      </c>
      <c r="T36" s="6">
        <f>'FX Rates'!M26</f>
        <v/>
      </c>
      <c r="U36" s="7">
        <f>S36*T36</f>
        <v/>
      </c>
      <c r="V36" s="7">
        <f>'Entity TB (LCY)'!J36</f>
        <v/>
      </c>
      <c r="W36" s="6">
        <f>'FX Rates'!N26</f>
        <v/>
      </c>
      <c r="X36" s="7">
        <f>V36*W36</f>
        <v/>
      </c>
      <c r="Y36" s="7">
        <f>'Entity TB (LCY)'!K36</f>
        <v/>
      </c>
      <c r="Z36" s="6">
        <f>'FX Rates'!O26</f>
        <v/>
      </c>
      <c r="AA36" s="7">
        <f>Y36*Z36</f>
        <v/>
      </c>
      <c r="AB36" s="7">
        <f>'Entity TB (LCY)'!L36</f>
        <v/>
      </c>
      <c r="AC36" s="6" t="n">
        <v>1</v>
      </c>
      <c r="AD36" s="7">
        <f>AB36*AC36</f>
        <v/>
      </c>
    </row>
    <row r="37">
      <c r="A37" t="n">
        <v>2300</v>
      </c>
      <c r="B37" t="inlineStr">
        <is>
          <t>Bank borrowings</t>
        </is>
      </c>
      <c r="C37" t="inlineStr">
        <is>
          <t>Closing</t>
        </is>
      </c>
      <c r="D37" s="7">
        <f>'Entity TB (LCY)'!D37</f>
        <v/>
      </c>
      <c r="E37" s="6" t="n">
        <v>1</v>
      </c>
      <c r="F37" s="7">
        <f>D37*E37</f>
        <v/>
      </c>
      <c r="G37" s="7">
        <f>'Entity TB (LCY)'!E37</f>
        <v/>
      </c>
      <c r="H37" s="6">
        <f>'FX Rates'!I26</f>
        <v/>
      </c>
      <c r="I37" s="7">
        <f>G37*H37</f>
        <v/>
      </c>
      <c r="J37" s="7">
        <f>'Entity TB (LCY)'!F37</f>
        <v/>
      </c>
      <c r="K37" s="6">
        <f>'FX Rates'!J26</f>
        <v/>
      </c>
      <c r="L37" s="7">
        <f>J37*K37</f>
        <v/>
      </c>
      <c r="M37" s="7">
        <f>'Entity TB (LCY)'!G37</f>
        <v/>
      </c>
      <c r="N37" s="6">
        <f>'FX Rates'!K26</f>
        <v/>
      </c>
      <c r="O37" s="7">
        <f>M37*N37</f>
        <v/>
      </c>
      <c r="P37" s="7">
        <f>'Entity TB (LCY)'!H37</f>
        <v/>
      </c>
      <c r="Q37" s="6">
        <f>'FX Rates'!L26</f>
        <v/>
      </c>
      <c r="R37" s="7">
        <f>P37*Q37</f>
        <v/>
      </c>
      <c r="S37" s="7">
        <f>'Entity TB (LCY)'!I37</f>
        <v/>
      </c>
      <c r="T37" s="6">
        <f>'FX Rates'!M26</f>
        <v/>
      </c>
      <c r="U37" s="7">
        <f>S37*T37</f>
        <v/>
      </c>
      <c r="V37" s="7">
        <f>'Entity TB (LCY)'!J37</f>
        <v/>
      </c>
      <c r="W37" s="6">
        <f>'FX Rates'!N26</f>
        <v/>
      </c>
      <c r="X37" s="7">
        <f>V37*W37</f>
        <v/>
      </c>
      <c r="Y37" s="7">
        <f>'Entity TB (LCY)'!K37</f>
        <v/>
      </c>
      <c r="Z37" s="6">
        <f>'FX Rates'!O26</f>
        <v/>
      </c>
      <c r="AA37" s="7">
        <f>Y37*Z37</f>
        <v/>
      </c>
      <c r="AB37" s="7">
        <f>'Entity TB (LCY)'!L37</f>
        <v/>
      </c>
      <c r="AC37" s="6" t="n">
        <v>1</v>
      </c>
      <c r="AD37" s="7">
        <f>AB37*AC37</f>
        <v/>
      </c>
    </row>
    <row r="38">
      <c r="A38" t="n">
        <v>3000</v>
      </c>
      <c r="B38" t="inlineStr">
        <is>
          <t>Share capital</t>
        </is>
      </c>
      <c r="C38" t="inlineStr">
        <is>
          <t>Historical</t>
        </is>
      </c>
      <c r="D38" s="7">
        <f>'Entity TB (LCY)'!D38</f>
        <v/>
      </c>
      <c r="E38" s="6" t="n">
        <v>1</v>
      </c>
      <c r="F38" s="7">
        <f>D38*E38</f>
        <v/>
      </c>
      <c r="G38" s="7">
        <f>'Entity TB (LCY)'!E38</f>
        <v/>
      </c>
      <c r="H38" s="6" t="n">
        <v>0.9793333333333333</v>
      </c>
      <c r="I38" s="7">
        <f>G38*H38</f>
        <v/>
      </c>
      <c r="J38" s="7">
        <f>'Entity TB (LCY)'!F38</f>
        <v/>
      </c>
      <c r="K38" s="6" t="n">
        <v>1.008928571428571</v>
      </c>
      <c r="L38" s="7">
        <f>J38*K38</f>
        <v/>
      </c>
      <c r="M38" s="7">
        <f>'Entity TB (LCY)'!G38</f>
        <v/>
      </c>
      <c r="N38" s="6" t="n">
        <v>12.08</v>
      </c>
      <c r="O38" s="7">
        <f>M38*N38</f>
        <v/>
      </c>
      <c r="P38" s="7">
        <f>'Entity TB (LCY)'!H38</f>
        <v/>
      </c>
      <c r="Q38" s="6" t="n">
        <v>0.03010245901639344</v>
      </c>
      <c r="R38" s="7">
        <f>P38*Q38</f>
        <v/>
      </c>
      <c r="S38" s="7">
        <f>'Entity TB (LCY)'!I38</f>
        <v/>
      </c>
      <c r="T38" s="6" t="n">
        <v>0.04173295454545455</v>
      </c>
      <c r="U38" s="7">
        <f>S38*T38</f>
        <v/>
      </c>
      <c r="V38" s="7">
        <f>'Entity TB (LCY)'!J38</f>
        <v/>
      </c>
      <c r="W38" s="6" t="n">
        <v>4.85</v>
      </c>
      <c r="X38" s="7">
        <f>V38*W38</f>
        <v/>
      </c>
      <c r="Y38" s="7">
        <f>'Entity TB (LCY)'!K38</f>
        <v/>
      </c>
      <c r="Z38" s="6" t="n">
        <v>3.6725</v>
      </c>
      <c r="AA38" s="7">
        <f>Y38*Z38</f>
        <v/>
      </c>
      <c r="AB38" s="7">
        <f>'Entity TB (LCY)'!L38</f>
        <v/>
      </c>
      <c r="AC38" s="6" t="n">
        <v>1</v>
      </c>
      <c r="AD38" s="7">
        <f>AB38*AC38</f>
        <v/>
      </c>
    </row>
    <row r="39">
      <c r="A39" t="n">
        <v>3100</v>
      </c>
      <c r="B39" t="inlineStr">
        <is>
          <t>Retained earnings</t>
        </is>
      </c>
      <c r="C39" t="inlineStr">
        <is>
          <t>Historical (P&amp;L at average rates)</t>
        </is>
      </c>
      <c r="D39" s="7">
        <f>'Entity TB (LCY)'!D39</f>
        <v/>
      </c>
      <c r="E39" t="inlineStr">
        <is>
          <t>roll-fwd</t>
        </is>
      </c>
      <c r="F39" s="7" t="n">
        <v>30125158</v>
      </c>
      <c r="G39" s="7">
        <f>'Entity TB (LCY)'!E39</f>
        <v/>
      </c>
      <c r="H39" t="inlineStr">
        <is>
          <t>roll-fwd</t>
        </is>
      </c>
      <c r="I39" s="7" t="n">
        <v>18147174</v>
      </c>
      <c r="J39" s="7">
        <f>'Entity TB (LCY)'!F39</f>
        <v/>
      </c>
      <c r="K39" t="inlineStr">
        <is>
          <t>roll-fwd</t>
        </is>
      </c>
      <c r="L39" s="7" t="n">
        <v>9691400</v>
      </c>
      <c r="M39" s="7">
        <f>'Entity TB (LCY)'!G39</f>
        <v/>
      </c>
      <c r="N39" t="inlineStr">
        <is>
          <t>roll-fwd</t>
        </is>
      </c>
      <c r="O39" s="7" t="n">
        <v>15330102</v>
      </c>
      <c r="P39" s="7">
        <f>'Entity TB (LCY)'!H39</f>
        <v/>
      </c>
      <c r="Q39" t="inlineStr">
        <is>
          <t>roll-fwd</t>
        </is>
      </c>
      <c r="R39" s="7" t="n">
        <v>-1834246</v>
      </c>
      <c r="S39" s="7">
        <f>'Entity TB (LCY)'!I39</f>
        <v/>
      </c>
      <c r="T39" t="inlineStr">
        <is>
          <t>roll-fwd</t>
        </is>
      </c>
      <c r="U39" s="7" t="n">
        <v>446772</v>
      </c>
      <c r="V39" s="7">
        <f>'Entity TB (LCY)'!J39</f>
        <v/>
      </c>
      <c r="W39" t="inlineStr">
        <is>
          <t>roll-fwd</t>
        </is>
      </c>
      <c r="X39" s="7" t="n">
        <v>-3366046</v>
      </c>
      <c r="Y39" s="7">
        <f>'Entity TB (LCY)'!K39</f>
        <v/>
      </c>
      <c r="Z39" t="inlineStr">
        <is>
          <t>roll-fwd</t>
        </is>
      </c>
      <c r="AA39" s="7" t="n">
        <v>-5916659</v>
      </c>
      <c r="AB39" s="7">
        <f>'Entity TB (LCY)'!L39</f>
        <v/>
      </c>
      <c r="AC39" t="inlineStr">
        <is>
          <t>roll-fwd</t>
        </is>
      </c>
      <c r="AD39" s="7" t="n">
        <v>-6815079</v>
      </c>
    </row>
    <row r="40">
      <c r="A40" t="n">
        <v>3200</v>
      </c>
      <c r="B40" t="inlineStr">
        <is>
          <t>Translation reserve (CTA)</t>
        </is>
      </c>
      <c r="C40" t="inlineStr">
        <is>
          <t>Balancing figure</t>
        </is>
      </c>
      <c r="F40" s="7">
        <f>(F28+F29+F30+F31+F32+F33)-(F34+F35+F36+F37)-F38-F39</f>
        <v/>
      </c>
      <c r="I40" s="7">
        <f>(I28+I29+I30+I31+I32+I33)-(I34+I35+I36+I37)-I38-I39</f>
        <v/>
      </c>
      <c r="L40" s="7">
        <f>(L28+L29+L30+L31+L32+L33)-(L34+L35+L36+L37)-L38-L39</f>
        <v/>
      </c>
      <c r="O40" s="7">
        <f>(O28+O29+O30+O31+O32+O33)-(O34+O35+O36+O37)-O38-O39</f>
        <v/>
      </c>
      <c r="R40" s="7">
        <f>(R28+R29+R30+R31+R32+R33)-(R34+R35+R36+R37)-R38-R39</f>
        <v/>
      </c>
      <c r="U40" s="7">
        <f>(U28+U29+U30+U31+U32+U33)-(U34+U35+U36+U37)-U38-U39</f>
        <v/>
      </c>
      <c r="X40" s="7">
        <f>(X28+X29+X30+X31+X32+X33)-(X34+X35+X36+X37)-X38-X39</f>
        <v/>
      </c>
      <c r="AA40" s="7">
        <f>(AA28+AA29+AA30+AA31+AA32+AA33)-(AA34+AA35+AA36+AA37)-AA38-AA39</f>
        <v/>
      </c>
      <c r="AD40" s="7">
        <f>(AD28+AD29+AD30+AD31+AD32+AD33)-(AD34+AD35+AD36+AD37)-AD38-AD39</f>
        <v/>
      </c>
    </row>
    <row r="42">
      <c r="B42" s="2" t="inlineStr">
        <is>
          <t>Check: CTA per Power BI data</t>
        </is>
      </c>
      <c r="F42" s="7" t="n">
        <v>0</v>
      </c>
      <c r="I42" s="7" t="n">
        <v>0</v>
      </c>
      <c r="L42" s="7" t="n">
        <v>0</v>
      </c>
      <c r="O42" s="7" t="n">
        <v>-335934</v>
      </c>
      <c r="R42" s="7" t="n">
        <v>-5259465</v>
      </c>
      <c r="U42" s="7" t="n">
        <v>-2905</v>
      </c>
      <c r="X42" s="7" t="n">
        <v>-935230</v>
      </c>
      <c r="AA42" s="7" t="n">
        <v>0</v>
      </c>
      <c r="AD42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20" customWidth="1" min="4" max="4"/>
    <col width="70" customWidth="1" min="5" max="5"/>
  </cols>
  <sheetData>
    <row r="1">
      <c r="A1" s="1" t="inlineStr">
        <is>
          <t>Consolidation eliminations - Jan-Sep 2026 and 30 September 2026</t>
        </is>
      </c>
    </row>
    <row r="2">
      <c r="A2" s="2" t="inlineStr">
        <is>
          <t>Intercompany items cancel out so the group is shown as one company.</t>
        </is>
      </c>
    </row>
    <row r="4">
      <c r="A4" s="5" t="inlineStr">
        <is>
          <t>#</t>
        </is>
      </c>
      <c r="B4" s="5" t="inlineStr">
        <is>
          <t>Elimination</t>
        </is>
      </c>
      <c r="C4" s="5" t="inlineStr">
        <is>
          <t>Account</t>
        </is>
      </c>
      <c r="D4" s="5" t="inlineStr">
        <is>
          <t>Debit / (credit) AED</t>
        </is>
      </c>
      <c r="E4" s="5" t="inlineStr">
        <is>
          <t>Explanation</t>
        </is>
      </c>
    </row>
    <row r="5">
      <c r="A5" t="n">
        <v>1</v>
      </c>
      <c r="B5" t="inlineStr">
        <is>
          <t>Management fee</t>
        </is>
      </c>
      <c r="C5" t="inlineStr">
        <is>
          <t>4800 Management fee income (holding)</t>
        </is>
      </c>
      <c r="D5" s="7" t="n">
        <v>-12018849.9</v>
      </c>
      <c r="E5" t="inlineStr">
        <is>
          <t>Remove the holding company's fee income</t>
        </is>
      </c>
    </row>
    <row r="6">
      <c r="A6" t="n">
        <v>1</v>
      </c>
      <c r="B6" t="inlineStr">
        <is>
          <t>Management fee</t>
        </is>
      </c>
      <c r="C6" t="inlineStr">
        <is>
          <t>6500 Management fee expense (subsidiaries)</t>
        </is>
      </c>
      <c r="D6" s="7" t="n">
        <v>12018849.9</v>
      </c>
      <c r="E6" t="inlineStr">
        <is>
          <t>Remove the subsidiaries' fee expense - net effect on group profit nil</t>
        </is>
      </c>
    </row>
    <row r="7">
      <c r="A7" t="n">
        <v>2</v>
      </c>
      <c r="B7" t="inlineStr">
        <is>
          <t>Investment in subsidiaries</t>
        </is>
      </c>
      <c r="C7" t="inlineStr">
        <is>
          <t>3000 Share capital (subsidiaries, historical rate)</t>
        </is>
      </c>
      <c r="D7" s="7" t="n">
        <v>-131721981.58</v>
      </c>
      <c r="E7" t="inlineStr">
        <is>
          <t>Subsidiaries' share capital at the rate when it was injected</t>
        </is>
      </c>
    </row>
    <row r="8">
      <c r="A8" t="n">
        <v>2</v>
      </c>
      <c r="B8" t="inlineStr">
        <is>
          <t>Investment in subsidiaries</t>
        </is>
      </c>
      <c r="C8" t="inlineStr">
        <is>
          <t>1500 Investment in subsidiaries (holding)</t>
        </is>
      </c>
      <c r="D8" s="7" t="n">
        <v>131721981.58</v>
      </c>
      <c r="E8" t="inlineStr">
        <is>
          <t>Holding company's cost of investment - equal by construction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Consolidation worksheet - AED</t>
        </is>
      </c>
    </row>
    <row r="2">
      <c r="A2" s="2" t="inlineStr">
        <is>
          <t>Jan-Sep 2026 P&amp;L and 30-Sep-2026 balance sheet. Each entity column links to the Translation sheet; Consolidated = entities + eliminations.</t>
        </is>
      </c>
    </row>
    <row r="4">
      <c r="A4" s="5" t="inlineStr">
        <is>
          <t>Account</t>
        </is>
      </c>
      <c r="B4" s="5" t="inlineStr">
        <is>
          <t>Name</t>
        </is>
      </c>
      <c r="C4" s="5" t="inlineStr">
        <is>
          <t>UAE</t>
        </is>
      </c>
      <c r="D4" s="5" t="inlineStr">
        <is>
          <t>KSA</t>
        </is>
      </c>
      <c r="E4" s="5" t="inlineStr">
        <is>
          <t>Qatar</t>
        </is>
      </c>
      <c r="F4" s="5" t="inlineStr">
        <is>
          <t>Kuwait</t>
        </is>
      </c>
      <c r="G4" s="5" t="inlineStr">
        <is>
          <t>Pakistan</t>
        </is>
      </c>
      <c r="H4" s="5" t="inlineStr">
        <is>
          <t>Afghanistan</t>
        </is>
      </c>
      <c r="I4" s="5" t="inlineStr">
        <is>
          <t>UK</t>
        </is>
      </c>
      <c r="J4" s="5" t="inlineStr">
        <is>
          <t>USA</t>
        </is>
      </c>
      <c r="K4" s="5" t="inlineStr">
        <is>
          <t>Head office</t>
        </is>
      </c>
      <c r="L4" s="5" t="inlineStr">
        <is>
          <t>Eliminations</t>
        </is>
      </c>
      <c r="M4" s="5" t="inlineStr">
        <is>
          <t>Consolidated</t>
        </is>
      </c>
    </row>
    <row r="5">
      <c r="A5" t="n">
        <v>4000</v>
      </c>
      <c r="B5" t="inlineStr">
        <is>
          <t>Consultation revenue</t>
        </is>
      </c>
      <c r="C5" s="7">
        <f>Translation!F5</f>
        <v/>
      </c>
      <c r="D5" s="7">
        <f>Translation!I5</f>
        <v/>
      </c>
      <c r="E5" s="7">
        <f>Translation!L5</f>
        <v/>
      </c>
      <c r="F5" s="7">
        <f>Translation!O5</f>
        <v/>
      </c>
      <c r="G5" s="7">
        <f>Translation!R5</f>
        <v/>
      </c>
      <c r="H5" s="7">
        <f>Translation!U5</f>
        <v/>
      </c>
      <c r="I5" s="7">
        <f>Translation!X5</f>
        <v/>
      </c>
      <c r="J5" s="7">
        <f>Translation!AA5</f>
        <v/>
      </c>
      <c r="K5" s="7">
        <f>Translation!AD5</f>
        <v/>
      </c>
      <c r="L5" s="7" t="n">
        <v>0</v>
      </c>
      <c r="M5" s="7">
        <f>SUM(C5:L5)</f>
        <v/>
      </c>
    </row>
    <row r="6">
      <c r="A6" t="n">
        <v>4100</v>
      </c>
      <c r="B6" t="inlineStr">
        <is>
          <t>Procedures revenue</t>
        </is>
      </c>
      <c r="C6" s="7">
        <f>Translation!F6</f>
        <v/>
      </c>
      <c r="D6" s="7">
        <f>Translation!I6</f>
        <v/>
      </c>
      <c r="E6" s="7">
        <f>Translation!L6</f>
        <v/>
      </c>
      <c r="F6" s="7">
        <f>Translation!O6</f>
        <v/>
      </c>
      <c r="G6" s="7">
        <f>Translation!R6</f>
        <v/>
      </c>
      <c r="H6" s="7">
        <f>Translation!U6</f>
        <v/>
      </c>
      <c r="I6" s="7">
        <f>Translation!X6</f>
        <v/>
      </c>
      <c r="J6" s="7">
        <f>Translation!AA6</f>
        <v/>
      </c>
      <c r="K6" s="7">
        <f>Translation!AD6</f>
        <v/>
      </c>
      <c r="L6" s="7" t="n">
        <v>0</v>
      </c>
      <c r="M6" s="7">
        <f>SUM(C6:L6)</f>
        <v/>
      </c>
    </row>
    <row r="7">
      <c r="A7" t="n">
        <v>4200</v>
      </c>
      <c r="B7" t="inlineStr">
        <is>
          <t>Diagnostics revenue</t>
        </is>
      </c>
      <c r="C7" s="7">
        <f>Translation!F7</f>
        <v/>
      </c>
      <c r="D7" s="7">
        <f>Translation!I7</f>
        <v/>
      </c>
      <c r="E7" s="7">
        <f>Translation!L7</f>
        <v/>
      </c>
      <c r="F7" s="7">
        <f>Translation!O7</f>
        <v/>
      </c>
      <c r="G7" s="7">
        <f>Translation!R7</f>
        <v/>
      </c>
      <c r="H7" s="7">
        <f>Translation!U7</f>
        <v/>
      </c>
      <c r="I7" s="7">
        <f>Translation!X7</f>
        <v/>
      </c>
      <c r="J7" s="7">
        <f>Translation!AA7</f>
        <v/>
      </c>
      <c r="K7" s="7">
        <f>Translation!AD7</f>
        <v/>
      </c>
      <c r="L7" s="7" t="n">
        <v>0</v>
      </c>
      <c r="M7" s="7">
        <f>SUM(C7:L7)</f>
        <v/>
      </c>
    </row>
    <row r="8">
      <c r="A8" t="n">
        <v>4300</v>
      </c>
      <c r="B8" t="inlineStr">
        <is>
          <t>Pharmacy revenue</t>
        </is>
      </c>
      <c r="C8" s="7">
        <f>Translation!F8</f>
        <v/>
      </c>
      <c r="D8" s="7">
        <f>Translation!I8</f>
        <v/>
      </c>
      <c r="E8" s="7">
        <f>Translation!L8</f>
        <v/>
      </c>
      <c r="F8" s="7">
        <f>Translation!O8</f>
        <v/>
      </c>
      <c r="G8" s="7">
        <f>Translation!R8</f>
        <v/>
      </c>
      <c r="H8" s="7">
        <f>Translation!U8</f>
        <v/>
      </c>
      <c r="I8" s="7">
        <f>Translation!X8</f>
        <v/>
      </c>
      <c r="J8" s="7">
        <f>Translation!AA8</f>
        <v/>
      </c>
      <c r="K8" s="7">
        <f>Translation!AD8</f>
        <v/>
      </c>
      <c r="L8" s="7" t="n">
        <v>0</v>
      </c>
      <c r="M8" s="7">
        <f>SUM(C8:L8)</f>
        <v/>
      </c>
    </row>
    <row r="9">
      <c r="A9" t="n">
        <v>4900</v>
      </c>
      <c r="B9" t="inlineStr">
        <is>
          <t>Contractual discounts</t>
        </is>
      </c>
      <c r="C9" s="7">
        <f>Translation!F9</f>
        <v/>
      </c>
      <c r="D9" s="7">
        <f>Translation!I9</f>
        <v/>
      </c>
      <c r="E9" s="7">
        <f>Translation!L9</f>
        <v/>
      </c>
      <c r="F9" s="7">
        <f>Translation!O9</f>
        <v/>
      </c>
      <c r="G9" s="7">
        <f>Translation!R9</f>
        <v/>
      </c>
      <c r="H9" s="7">
        <f>Translation!U9</f>
        <v/>
      </c>
      <c r="I9" s="7">
        <f>Translation!X9</f>
        <v/>
      </c>
      <c r="J9" s="7">
        <f>Translation!AA9</f>
        <v/>
      </c>
      <c r="K9" s="7">
        <f>Translation!AD9</f>
        <v/>
      </c>
      <c r="L9" s="7" t="n">
        <v>0</v>
      </c>
      <c r="M9" s="7">
        <f>SUM(C9:L9)</f>
        <v/>
      </c>
    </row>
    <row r="10">
      <c r="A10" t="n">
        <v>5000</v>
      </c>
      <c r="B10" t="inlineStr">
        <is>
          <t>Doctor salaries</t>
        </is>
      </c>
      <c r="C10" s="7">
        <f>Translation!F10</f>
        <v/>
      </c>
      <c r="D10" s="7">
        <f>Translation!I10</f>
        <v/>
      </c>
      <c r="E10" s="7">
        <f>Translation!L10</f>
        <v/>
      </c>
      <c r="F10" s="7">
        <f>Translation!O10</f>
        <v/>
      </c>
      <c r="G10" s="7">
        <f>Translation!R10</f>
        <v/>
      </c>
      <c r="H10" s="7">
        <f>Translation!U10</f>
        <v/>
      </c>
      <c r="I10" s="7">
        <f>Translation!X10</f>
        <v/>
      </c>
      <c r="J10" s="7">
        <f>Translation!AA10</f>
        <v/>
      </c>
      <c r="K10" s="7">
        <f>Translation!AD10</f>
        <v/>
      </c>
      <c r="L10" s="7" t="n">
        <v>0</v>
      </c>
      <c r="M10" s="7">
        <f>SUM(C10:L10)</f>
        <v/>
      </c>
    </row>
    <row r="11">
      <c r="A11" t="n">
        <v>5100</v>
      </c>
      <c r="B11" t="inlineStr">
        <is>
          <t>Nursing &amp; clinical staff</t>
        </is>
      </c>
      <c r="C11" s="7">
        <f>Translation!F11</f>
        <v/>
      </c>
      <c r="D11" s="7">
        <f>Translation!I11</f>
        <v/>
      </c>
      <c r="E11" s="7">
        <f>Translation!L11</f>
        <v/>
      </c>
      <c r="F11" s="7">
        <f>Translation!O11</f>
        <v/>
      </c>
      <c r="G11" s="7">
        <f>Translation!R11</f>
        <v/>
      </c>
      <c r="H11" s="7">
        <f>Translation!U11</f>
        <v/>
      </c>
      <c r="I11" s="7">
        <f>Translation!X11</f>
        <v/>
      </c>
      <c r="J11" s="7">
        <f>Translation!AA11</f>
        <v/>
      </c>
      <c r="K11" s="7">
        <f>Translation!AD11</f>
        <v/>
      </c>
      <c r="L11" s="7" t="n">
        <v>0</v>
      </c>
      <c r="M11" s="7">
        <f>SUM(C11:L11)</f>
        <v/>
      </c>
    </row>
    <row r="12">
      <c r="A12" t="n">
        <v>5200</v>
      </c>
      <c r="B12" t="inlineStr">
        <is>
          <t>Medical consumables</t>
        </is>
      </c>
      <c r="C12" s="7">
        <f>Translation!F12</f>
        <v/>
      </c>
      <c r="D12" s="7">
        <f>Translation!I12</f>
        <v/>
      </c>
      <c r="E12" s="7">
        <f>Translation!L12</f>
        <v/>
      </c>
      <c r="F12" s="7">
        <f>Translation!O12</f>
        <v/>
      </c>
      <c r="G12" s="7">
        <f>Translation!R12</f>
        <v/>
      </c>
      <c r="H12" s="7">
        <f>Translation!U12</f>
        <v/>
      </c>
      <c r="I12" s="7">
        <f>Translation!X12</f>
        <v/>
      </c>
      <c r="J12" s="7">
        <f>Translation!AA12</f>
        <v/>
      </c>
      <c r="K12" s="7">
        <f>Translation!AD12</f>
        <v/>
      </c>
      <c r="L12" s="7" t="n">
        <v>0</v>
      </c>
      <c r="M12" s="7">
        <f>SUM(C12:L12)</f>
        <v/>
      </c>
    </row>
    <row r="13">
      <c r="A13" t="n">
        <v>5300</v>
      </c>
      <c r="B13" t="inlineStr">
        <is>
          <t>Pharmacy cost of goods</t>
        </is>
      </c>
      <c r="C13" s="7">
        <f>Translation!F13</f>
        <v/>
      </c>
      <c r="D13" s="7">
        <f>Translation!I13</f>
        <v/>
      </c>
      <c r="E13" s="7">
        <f>Translation!L13</f>
        <v/>
      </c>
      <c r="F13" s="7">
        <f>Translation!O13</f>
        <v/>
      </c>
      <c r="G13" s="7">
        <f>Translation!R13</f>
        <v/>
      </c>
      <c r="H13" s="7">
        <f>Translation!U13</f>
        <v/>
      </c>
      <c r="I13" s="7">
        <f>Translation!X13</f>
        <v/>
      </c>
      <c r="J13" s="7">
        <f>Translation!AA13</f>
        <v/>
      </c>
      <c r="K13" s="7">
        <f>Translation!AD13</f>
        <v/>
      </c>
      <c r="L13" s="7" t="n">
        <v>0</v>
      </c>
      <c r="M13" s="7">
        <f>SUM(C13:L13)</f>
        <v/>
      </c>
    </row>
    <row r="14">
      <c r="A14" t="n">
        <v>6000</v>
      </c>
      <c r="B14" t="inlineStr">
        <is>
          <t>Rent &amp; facility</t>
        </is>
      </c>
      <c r="C14" s="7">
        <f>Translation!F14</f>
        <v/>
      </c>
      <c r="D14" s="7">
        <f>Translation!I14</f>
        <v/>
      </c>
      <c r="E14" s="7">
        <f>Translation!L14</f>
        <v/>
      </c>
      <c r="F14" s="7">
        <f>Translation!O14</f>
        <v/>
      </c>
      <c r="G14" s="7">
        <f>Translation!R14</f>
        <v/>
      </c>
      <c r="H14" s="7">
        <f>Translation!U14</f>
        <v/>
      </c>
      <c r="I14" s="7">
        <f>Translation!X14</f>
        <v/>
      </c>
      <c r="J14" s="7">
        <f>Translation!AA14</f>
        <v/>
      </c>
      <c r="K14" s="7">
        <f>Translation!AD14</f>
        <v/>
      </c>
      <c r="L14" s="7" t="n">
        <v>0</v>
      </c>
      <c r="M14" s="7">
        <f>SUM(C14:L14)</f>
        <v/>
      </c>
    </row>
    <row r="15">
      <c r="A15" t="n">
        <v>6100</v>
      </c>
      <c r="B15" t="inlineStr">
        <is>
          <t>Admin &amp; front-office staff</t>
        </is>
      </c>
      <c r="C15" s="7">
        <f>Translation!F15</f>
        <v/>
      </c>
      <c r="D15" s="7">
        <f>Translation!I15</f>
        <v/>
      </c>
      <c r="E15" s="7">
        <f>Translation!L15</f>
        <v/>
      </c>
      <c r="F15" s="7">
        <f>Translation!O15</f>
        <v/>
      </c>
      <c r="G15" s="7">
        <f>Translation!R15</f>
        <v/>
      </c>
      <c r="H15" s="7">
        <f>Translation!U15</f>
        <v/>
      </c>
      <c r="I15" s="7">
        <f>Translation!X15</f>
        <v/>
      </c>
      <c r="J15" s="7">
        <f>Translation!AA15</f>
        <v/>
      </c>
      <c r="K15" s="7">
        <f>Translation!AD15</f>
        <v/>
      </c>
      <c r="L15" s="7" t="n">
        <v>0</v>
      </c>
      <c r="M15" s="7">
        <f>SUM(C15:L15)</f>
        <v/>
      </c>
    </row>
    <row r="16">
      <c r="A16" t="n">
        <v>6200</v>
      </c>
      <c r="B16" t="inlineStr">
        <is>
          <t>Marketing</t>
        </is>
      </c>
      <c r="C16" s="7">
        <f>Translation!F16</f>
        <v/>
      </c>
      <c r="D16" s="7">
        <f>Translation!I16</f>
        <v/>
      </c>
      <c r="E16" s="7">
        <f>Translation!L16</f>
        <v/>
      </c>
      <c r="F16" s="7">
        <f>Translation!O16</f>
        <v/>
      </c>
      <c r="G16" s="7">
        <f>Translation!R16</f>
        <v/>
      </c>
      <c r="H16" s="7">
        <f>Translation!U16</f>
        <v/>
      </c>
      <c r="I16" s="7">
        <f>Translation!X16</f>
        <v/>
      </c>
      <c r="J16" s="7">
        <f>Translation!AA16</f>
        <v/>
      </c>
      <c r="K16" s="7">
        <f>Translation!AD16</f>
        <v/>
      </c>
      <c r="L16" s="7" t="n">
        <v>0</v>
      </c>
      <c r="M16" s="7">
        <f>SUM(C16:L16)</f>
        <v/>
      </c>
    </row>
    <row r="17">
      <c r="A17" t="n">
        <v>6300</v>
      </c>
      <c r="B17" t="inlineStr">
        <is>
          <t>IT &amp; systems</t>
        </is>
      </c>
      <c r="C17" s="7">
        <f>Translation!F17</f>
        <v/>
      </c>
      <c r="D17" s="7">
        <f>Translation!I17</f>
        <v/>
      </c>
      <c r="E17" s="7">
        <f>Translation!L17</f>
        <v/>
      </c>
      <c r="F17" s="7">
        <f>Translation!O17</f>
        <v/>
      </c>
      <c r="G17" s="7">
        <f>Translation!R17</f>
        <v/>
      </c>
      <c r="H17" s="7">
        <f>Translation!U17</f>
        <v/>
      </c>
      <c r="I17" s="7">
        <f>Translation!X17</f>
        <v/>
      </c>
      <c r="J17" s="7">
        <f>Translation!AA17</f>
        <v/>
      </c>
      <c r="K17" s="7">
        <f>Translation!AD17</f>
        <v/>
      </c>
      <c r="L17" s="7" t="n">
        <v>0</v>
      </c>
      <c r="M17" s="7">
        <f>SUM(C17:L17)</f>
        <v/>
      </c>
    </row>
    <row r="18">
      <c r="A18" t="n">
        <v>6400</v>
      </c>
      <c r="B18" t="inlineStr">
        <is>
          <t>Utilities &amp; maintenance</t>
        </is>
      </c>
      <c r="C18" s="7">
        <f>Translation!F18</f>
        <v/>
      </c>
      <c r="D18" s="7">
        <f>Translation!I18</f>
        <v/>
      </c>
      <c r="E18" s="7">
        <f>Translation!L18</f>
        <v/>
      </c>
      <c r="F18" s="7">
        <f>Translation!O18</f>
        <v/>
      </c>
      <c r="G18" s="7">
        <f>Translation!R18</f>
        <v/>
      </c>
      <c r="H18" s="7">
        <f>Translation!U18</f>
        <v/>
      </c>
      <c r="I18" s="7">
        <f>Translation!X18</f>
        <v/>
      </c>
      <c r="J18" s="7">
        <f>Translation!AA18</f>
        <v/>
      </c>
      <c r="K18" s="7">
        <f>Translation!AD18</f>
        <v/>
      </c>
      <c r="L18" s="7" t="n">
        <v>0</v>
      </c>
      <c r="M18" s="7">
        <f>SUM(C18:L18)</f>
        <v/>
      </c>
    </row>
    <row r="19">
      <c r="A19" t="n">
        <v>6600</v>
      </c>
      <c r="B19" t="inlineStr">
        <is>
          <t>Claim denials written off</t>
        </is>
      </c>
      <c r="C19" s="7">
        <f>Translation!F19</f>
        <v/>
      </c>
      <c r="D19" s="7">
        <f>Translation!I19</f>
        <v/>
      </c>
      <c r="E19" s="7">
        <f>Translation!L19</f>
        <v/>
      </c>
      <c r="F19" s="7">
        <f>Translation!O19</f>
        <v/>
      </c>
      <c r="G19" s="7">
        <f>Translation!R19</f>
        <v/>
      </c>
      <c r="H19" s="7">
        <f>Translation!U19</f>
        <v/>
      </c>
      <c r="I19" s="7">
        <f>Translation!X19</f>
        <v/>
      </c>
      <c r="J19" s="7">
        <f>Translation!AA19</f>
        <v/>
      </c>
      <c r="K19" s="7">
        <f>Translation!AD19</f>
        <v/>
      </c>
      <c r="L19" s="7" t="n">
        <v>0</v>
      </c>
      <c r="M19" s="7">
        <f>SUM(C19:L19)</f>
        <v/>
      </c>
    </row>
    <row r="20">
      <c r="A20" t="n">
        <v>6700</v>
      </c>
      <c r="B20" t="inlineStr">
        <is>
          <t>Other operating costs</t>
        </is>
      </c>
      <c r="C20" s="7">
        <f>Translation!F20</f>
        <v/>
      </c>
      <c r="D20" s="7">
        <f>Translation!I20</f>
        <v/>
      </c>
      <c r="E20" s="7">
        <f>Translation!L20</f>
        <v/>
      </c>
      <c r="F20" s="7">
        <f>Translation!O20</f>
        <v/>
      </c>
      <c r="G20" s="7">
        <f>Translation!R20</f>
        <v/>
      </c>
      <c r="H20" s="7">
        <f>Translation!U20</f>
        <v/>
      </c>
      <c r="I20" s="7">
        <f>Translation!X20</f>
        <v/>
      </c>
      <c r="J20" s="7">
        <f>Translation!AA20</f>
        <v/>
      </c>
      <c r="K20" s="7">
        <f>Translation!AD20</f>
        <v/>
      </c>
      <c r="L20" s="7" t="n">
        <v>0</v>
      </c>
      <c r="M20" s="7">
        <f>SUM(C20:L20)</f>
        <v/>
      </c>
    </row>
    <row r="21">
      <c r="A21" t="n">
        <v>6800</v>
      </c>
      <c r="B21" t="inlineStr">
        <is>
          <t>Head office staff</t>
        </is>
      </c>
      <c r="C21" s="7">
        <f>Translation!F21</f>
        <v/>
      </c>
      <c r="D21" s="7">
        <f>Translation!I21</f>
        <v/>
      </c>
      <c r="E21" s="7">
        <f>Translation!L21</f>
        <v/>
      </c>
      <c r="F21" s="7">
        <f>Translation!O21</f>
        <v/>
      </c>
      <c r="G21" s="7">
        <f>Translation!R21</f>
        <v/>
      </c>
      <c r="H21" s="7">
        <f>Translation!U21</f>
        <v/>
      </c>
      <c r="I21" s="7">
        <f>Translation!X21</f>
        <v/>
      </c>
      <c r="J21" s="7">
        <f>Translation!AA21</f>
        <v/>
      </c>
      <c r="K21" s="7">
        <f>Translation!AD21</f>
        <v/>
      </c>
      <c r="L21" s="7" t="n">
        <v>0</v>
      </c>
      <c r="M21" s="7">
        <f>SUM(C21:L21)</f>
        <v/>
      </c>
    </row>
    <row r="22">
      <c r="A22" t="n">
        <v>6810</v>
      </c>
      <c r="B22" t="inlineStr">
        <is>
          <t>Head office other costs</t>
        </is>
      </c>
      <c r="C22" s="7">
        <f>Translation!F22</f>
        <v/>
      </c>
      <c r="D22" s="7">
        <f>Translation!I22</f>
        <v/>
      </c>
      <c r="E22" s="7">
        <f>Translation!L22</f>
        <v/>
      </c>
      <c r="F22" s="7">
        <f>Translation!O22</f>
        <v/>
      </c>
      <c r="G22" s="7">
        <f>Translation!R22</f>
        <v/>
      </c>
      <c r="H22" s="7">
        <f>Translation!U22</f>
        <v/>
      </c>
      <c r="I22" s="7">
        <f>Translation!X22</f>
        <v/>
      </c>
      <c r="J22" s="7">
        <f>Translation!AA22</f>
        <v/>
      </c>
      <c r="K22" s="7">
        <f>Translation!AD22</f>
        <v/>
      </c>
      <c r="L22" s="7" t="n">
        <v>0</v>
      </c>
      <c r="M22" s="7">
        <f>SUM(C22:L22)</f>
        <v/>
      </c>
    </row>
    <row r="23">
      <c r="A23" t="n">
        <v>4800</v>
      </c>
      <c r="B23" t="inlineStr">
        <is>
          <t>Management fee income (intercompany)</t>
        </is>
      </c>
      <c r="C23" s="7">
        <f>Translation!F23</f>
        <v/>
      </c>
      <c r="D23" s="7">
        <f>Translation!I23</f>
        <v/>
      </c>
      <c r="E23" s="7">
        <f>Translation!L23</f>
        <v/>
      </c>
      <c r="F23" s="7">
        <f>Translation!O23</f>
        <v/>
      </c>
      <c r="G23" s="7">
        <f>Translation!R23</f>
        <v/>
      </c>
      <c r="H23" s="7">
        <f>Translation!U23</f>
        <v/>
      </c>
      <c r="I23" s="7">
        <f>Translation!X23</f>
        <v/>
      </c>
      <c r="J23" s="7">
        <f>Translation!AA23</f>
        <v/>
      </c>
      <c r="K23" s="7">
        <f>Translation!AD23</f>
        <v/>
      </c>
      <c r="L23" s="7" t="n">
        <v>-12018850</v>
      </c>
      <c r="M23" s="7">
        <f>SUM(C23:L23)</f>
        <v/>
      </c>
    </row>
    <row r="24">
      <c r="A24" t="n">
        <v>6500</v>
      </c>
      <c r="B24" t="inlineStr">
        <is>
          <t>Management fee expense (intercompany)</t>
        </is>
      </c>
      <c r="C24" s="7">
        <f>Translation!F24</f>
        <v/>
      </c>
      <c r="D24" s="7">
        <f>Translation!I24</f>
        <v/>
      </c>
      <c r="E24" s="7">
        <f>Translation!L24</f>
        <v/>
      </c>
      <c r="F24" s="7">
        <f>Translation!O24</f>
        <v/>
      </c>
      <c r="G24" s="7">
        <f>Translation!R24</f>
        <v/>
      </c>
      <c r="H24" s="7">
        <f>Translation!U24</f>
        <v/>
      </c>
      <c r="I24" s="7">
        <f>Translation!X24</f>
        <v/>
      </c>
      <c r="J24" s="7">
        <f>Translation!AA24</f>
        <v/>
      </c>
      <c r="K24" s="7">
        <f>Translation!AD24</f>
        <v/>
      </c>
      <c r="L24" s="7" t="n">
        <v>12018850</v>
      </c>
      <c r="M24" s="7">
        <f>SUM(C24:L24)</f>
        <v/>
      </c>
    </row>
    <row r="25">
      <c r="A25" t="n">
        <v>7000</v>
      </c>
      <c r="B25" t="inlineStr">
        <is>
          <t>Depreciation &amp; amortisation</t>
        </is>
      </c>
      <c r="C25" s="7">
        <f>Translation!F25</f>
        <v/>
      </c>
      <c r="D25" s="7">
        <f>Translation!I25</f>
        <v/>
      </c>
      <c r="E25" s="7">
        <f>Translation!L25</f>
        <v/>
      </c>
      <c r="F25" s="7">
        <f>Translation!O25</f>
        <v/>
      </c>
      <c r="G25" s="7">
        <f>Translation!R25</f>
        <v/>
      </c>
      <c r="H25" s="7">
        <f>Translation!U25</f>
        <v/>
      </c>
      <c r="I25" s="7">
        <f>Translation!X25</f>
        <v/>
      </c>
      <c r="J25" s="7">
        <f>Translation!AA25</f>
        <v/>
      </c>
      <c r="K25" s="7">
        <f>Translation!AD25</f>
        <v/>
      </c>
      <c r="L25" s="7" t="n">
        <v>0</v>
      </c>
      <c r="M25" s="7">
        <f>SUM(C25:L25)</f>
        <v/>
      </c>
    </row>
    <row r="26">
      <c r="A26" t="n">
        <v>7100</v>
      </c>
      <c r="B26" t="inlineStr">
        <is>
          <t>Finance costs</t>
        </is>
      </c>
      <c r="C26" s="7">
        <f>Translation!F26</f>
        <v/>
      </c>
      <c r="D26" s="7">
        <f>Translation!I26</f>
        <v/>
      </c>
      <c r="E26" s="7">
        <f>Translation!L26</f>
        <v/>
      </c>
      <c r="F26" s="7">
        <f>Translation!O26</f>
        <v/>
      </c>
      <c r="G26" s="7">
        <f>Translation!R26</f>
        <v/>
      </c>
      <c r="H26" s="7">
        <f>Translation!U26</f>
        <v/>
      </c>
      <c r="I26" s="7">
        <f>Translation!X26</f>
        <v/>
      </c>
      <c r="J26" s="7">
        <f>Translation!AA26</f>
        <v/>
      </c>
      <c r="K26" s="7">
        <f>Translation!AD26</f>
        <v/>
      </c>
      <c r="L26" s="7" t="n">
        <v>0</v>
      </c>
      <c r="M26" s="7">
        <f>SUM(C26:L26)</f>
        <v/>
      </c>
    </row>
    <row r="27">
      <c r="A27" t="n">
        <v>7200</v>
      </c>
      <c r="B27" t="inlineStr">
        <is>
          <t>Income tax</t>
        </is>
      </c>
      <c r="C27" s="7">
        <f>Translation!F27</f>
        <v/>
      </c>
      <c r="D27" s="7">
        <f>Translation!I27</f>
        <v/>
      </c>
      <c r="E27" s="7">
        <f>Translation!L27</f>
        <v/>
      </c>
      <c r="F27" s="7">
        <f>Translation!O27</f>
        <v/>
      </c>
      <c r="G27" s="7">
        <f>Translation!R27</f>
        <v/>
      </c>
      <c r="H27" s="7">
        <f>Translation!U27</f>
        <v/>
      </c>
      <c r="I27" s="7">
        <f>Translation!X27</f>
        <v/>
      </c>
      <c r="J27" s="7">
        <f>Translation!AA27</f>
        <v/>
      </c>
      <c r="K27" s="7">
        <f>Translation!AD27</f>
        <v/>
      </c>
      <c r="L27" s="7" t="n">
        <v>0</v>
      </c>
      <c r="M27" s="7">
        <f>SUM(C27:L27)</f>
        <v/>
      </c>
    </row>
    <row r="28">
      <c r="A28" t="n">
        <v>1000</v>
      </c>
      <c r="B28" t="inlineStr">
        <is>
          <t>Cash &amp; bank</t>
        </is>
      </c>
      <c r="C28" s="7">
        <f>Translation!F28</f>
        <v/>
      </c>
      <c r="D28" s="7">
        <f>Translation!I28</f>
        <v/>
      </c>
      <c r="E28" s="7">
        <f>Translation!L28</f>
        <v/>
      </c>
      <c r="F28" s="7">
        <f>Translation!O28</f>
        <v/>
      </c>
      <c r="G28" s="7">
        <f>Translation!R28</f>
        <v/>
      </c>
      <c r="H28" s="7">
        <f>Translation!U28</f>
        <v/>
      </c>
      <c r="I28" s="7">
        <f>Translation!X28</f>
        <v/>
      </c>
      <c r="J28" s="7">
        <f>Translation!AA28</f>
        <v/>
      </c>
      <c r="K28" s="7">
        <f>Translation!AD28</f>
        <v/>
      </c>
      <c r="L28" s="7" t="n">
        <v>0</v>
      </c>
      <c r="M28" s="7">
        <f>SUM(C28:L28)</f>
        <v/>
      </c>
    </row>
    <row r="29">
      <c r="A29" t="n">
        <v>1100</v>
      </c>
      <c r="B29" t="inlineStr">
        <is>
          <t>Insurance receivables</t>
        </is>
      </c>
      <c r="C29" s="7">
        <f>Translation!F29</f>
        <v/>
      </c>
      <c r="D29" s="7">
        <f>Translation!I29</f>
        <v/>
      </c>
      <c r="E29" s="7">
        <f>Translation!L29</f>
        <v/>
      </c>
      <c r="F29" s="7">
        <f>Translation!O29</f>
        <v/>
      </c>
      <c r="G29" s="7">
        <f>Translation!R29</f>
        <v/>
      </c>
      <c r="H29" s="7">
        <f>Translation!U29</f>
        <v/>
      </c>
      <c r="I29" s="7">
        <f>Translation!X29</f>
        <v/>
      </c>
      <c r="J29" s="7">
        <f>Translation!AA29</f>
        <v/>
      </c>
      <c r="K29" s="7">
        <f>Translation!AD29</f>
        <v/>
      </c>
      <c r="L29" s="7" t="n">
        <v>0</v>
      </c>
      <c r="M29" s="7">
        <f>SUM(C29:L29)</f>
        <v/>
      </c>
    </row>
    <row r="30">
      <c r="A30" t="n">
        <v>1200</v>
      </c>
      <c r="B30" t="inlineStr">
        <is>
          <t>Inventory (medical &amp; pharmacy)</t>
        </is>
      </c>
      <c r="C30" s="7">
        <f>Translation!F30</f>
        <v/>
      </c>
      <c r="D30" s="7">
        <f>Translation!I30</f>
        <v/>
      </c>
      <c r="E30" s="7">
        <f>Translation!L30</f>
        <v/>
      </c>
      <c r="F30" s="7">
        <f>Translation!O30</f>
        <v/>
      </c>
      <c r="G30" s="7">
        <f>Translation!R30</f>
        <v/>
      </c>
      <c r="H30" s="7">
        <f>Translation!U30</f>
        <v/>
      </c>
      <c r="I30" s="7">
        <f>Translation!X30</f>
        <v/>
      </c>
      <c r="J30" s="7">
        <f>Translation!AA30</f>
        <v/>
      </c>
      <c r="K30" s="7">
        <f>Translation!AD30</f>
        <v/>
      </c>
      <c r="L30" s="7" t="n">
        <v>0</v>
      </c>
      <c r="M30" s="7">
        <f>SUM(C30:L30)</f>
        <v/>
      </c>
    </row>
    <row r="31">
      <c r="A31" t="n">
        <v>1300</v>
      </c>
      <c r="B31" t="inlineStr">
        <is>
          <t>Prepayments &amp; deposits</t>
        </is>
      </c>
      <c r="C31" s="7">
        <f>Translation!F31</f>
        <v/>
      </c>
      <c r="D31" s="7">
        <f>Translation!I31</f>
        <v/>
      </c>
      <c r="E31" s="7">
        <f>Translation!L31</f>
        <v/>
      </c>
      <c r="F31" s="7">
        <f>Translation!O31</f>
        <v/>
      </c>
      <c r="G31" s="7">
        <f>Translation!R31</f>
        <v/>
      </c>
      <c r="H31" s="7">
        <f>Translation!U31</f>
        <v/>
      </c>
      <c r="I31" s="7">
        <f>Translation!X31</f>
        <v/>
      </c>
      <c r="J31" s="7">
        <f>Translation!AA31</f>
        <v/>
      </c>
      <c r="K31" s="7">
        <f>Translation!AD31</f>
        <v/>
      </c>
      <c r="L31" s="7" t="n">
        <v>0</v>
      </c>
      <c r="M31" s="7">
        <f>SUM(C31:L31)</f>
        <v/>
      </c>
    </row>
    <row r="32">
      <c r="A32" t="n">
        <v>1400</v>
      </c>
      <c r="B32" t="inlineStr">
        <is>
          <t>Property, plant &amp; equipment</t>
        </is>
      </c>
      <c r="C32" s="7">
        <f>Translation!F32</f>
        <v/>
      </c>
      <c r="D32" s="7">
        <f>Translation!I32</f>
        <v/>
      </c>
      <c r="E32" s="7">
        <f>Translation!L32</f>
        <v/>
      </c>
      <c r="F32" s="7">
        <f>Translation!O32</f>
        <v/>
      </c>
      <c r="G32" s="7">
        <f>Translation!R32</f>
        <v/>
      </c>
      <c r="H32" s="7">
        <f>Translation!U32</f>
        <v/>
      </c>
      <c r="I32" s="7">
        <f>Translation!X32</f>
        <v/>
      </c>
      <c r="J32" s="7">
        <f>Translation!AA32</f>
        <v/>
      </c>
      <c r="K32" s="7">
        <f>Translation!AD32</f>
        <v/>
      </c>
      <c r="L32" s="7" t="n">
        <v>0</v>
      </c>
      <c r="M32" s="7">
        <f>SUM(C32:L32)</f>
        <v/>
      </c>
    </row>
    <row r="33">
      <c r="A33" t="n">
        <v>1500</v>
      </c>
      <c r="B33" t="inlineStr">
        <is>
          <t>Investment in subsidiaries</t>
        </is>
      </c>
      <c r="C33" s="7">
        <f>Translation!F33</f>
        <v/>
      </c>
      <c r="D33" s="7">
        <f>Translation!I33</f>
        <v/>
      </c>
      <c r="E33" s="7">
        <f>Translation!L33</f>
        <v/>
      </c>
      <c r="F33" s="7">
        <f>Translation!O33</f>
        <v/>
      </c>
      <c r="G33" s="7">
        <f>Translation!R33</f>
        <v/>
      </c>
      <c r="H33" s="7">
        <f>Translation!U33</f>
        <v/>
      </c>
      <c r="I33" s="7">
        <f>Translation!X33</f>
        <v/>
      </c>
      <c r="J33" s="7">
        <f>Translation!AA33</f>
        <v/>
      </c>
      <c r="K33" s="7">
        <f>Translation!AD33</f>
        <v/>
      </c>
      <c r="L33" s="7" t="n">
        <v>-131721982</v>
      </c>
      <c r="M33" s="7">
        <f>SUM(C33:L33)</f>
        <v/>
      </c>
    </row>
    <row r="34">
      <c r="A34" t="n">
        <v>2000</v>
      </c>
      <c r="B34" t="inlineStr">
        <is>
          <t>Trade payables</t>
        </is>
      </c>
      <c r="C34" s="7">
        <f>Translation!F34</f>
        <v/>
      </c>
      <c r="D34" s="7">
        <f>Translation!I34</f>
        <v/>
      </c>
      <c r="E34" s="7">
        <f>Translation!L34</f>
        <v/>
      </c>
      <c r="F34" s="7">
        <f>Translation!O34</f>
        <v/>
      </c>
      <c r="G34" s="7">
        <f>Translation!R34</f>
        <v/>
      </c>
      <c r="H34" s="7">
        <f>Translation!U34</f>
        <v/>
      </c>
      <c r="I34" s="7">
        <f>Translation!X34</f>
        <v/>
      </c>
      <c r="J34" s="7">
        <f>Translation!AA34</f>
        <v/>
      </c>
      <c r="K34" s="7">
        <f>Translation!AD34</f>
        <v/>
      </c>
      <c r="L34" s="7" t="n">
        <v>0</v>
      </c>
      <c r="M34" s="7">
        <f>SUM(C34:L34)</f>
        <v/>
      </c>
    </row>
    <row r="35">
      <c r="A35" t="n">
        <v>2100</v>
      </c>
      <c r="B35" t="inlineStr">
        <is>
          <t>Accrued salaries &amp; benefits</t>
        </is>
      </c>
      <c r="C35" s="7">
        <f>Translation!F35</f>
        <v/>
      </c>
      <c r="D35" s="7">
        <f>Translation!I35</f>
        <v/>
      </c>
      <c r="E35" s="7">
        <f>Translation!L35</f>
        <v/>
      </c>
      <c r="F35" s="7">
        <f>Translation!O35</f>
        <v/>
      </c>
      <c r="G35" s="7">
        <f>Translation!R35</f>
        <v/>
      </c>
      <c r="H35" s="7">
        <f>Translation!U35</f>
        <v/>
      </c>
      <c r="I35" s="7">
        <f>Translation!X35</f>
        <v/>
      </c>
      <c r="J35" s="7">
        <f>Translation!AA35</f>
        <v/>
      </c>
      <c r="K35" s="7">
        <f>Translation!AD35</f>
        <v/>
      </c>
      <c r="L35" s="7" t="n">
        <v>0</v>
      </c>
      <c r="M35" s="7">
        <f>SUM(C35:L35)</f>
        <v/>
      </c>
    </row>
    <row r="36">
      <c r="A36" t="n">
        <v>2200</v>
      </c>
      <c r="B36" t="inlineStr">
        <is>
          <t>Income tax payable</t>
        </is>
      </c>
      <c r="C36" s="7">
        <f>Translation!F36</f>
        <v/>
      </c>
      <c r="D36" s="7">
        <f>Translation!I36</f>
        <v/>
      </c>
      <c r="E36" s="7">
        <f>Translation!L36</f>
        <v/>
      </c>
      <c r="F36" s="7">
        <f>Translation!O36</f>
        <v/>
      </c>
      <c r="G36" s="7">
        <f>Translation!R36</f>
        <v/>
      </c>
      <c r="H36" s="7">
        <f>Translation!U36</f>
        <v/>
      </c>
      <c r="I36" s="7">
        <f>Translation!X36</f>
        <v/>
      </c>
      <c r="J36" s="7">
        <f>Translation!AA36</f>
        <v/>
      </c>
      <c r="K36" s="7">
        <f>Translation!AD36</f>
        <v/>
      </c>
      <c r="L36" s="7" t="n">
        <v>0</v>
      </c>
      <c r="M36" s="7">
        <f>SUM(C36:L36)</f>
        <v/>
      </c>
    </row>
    <row r="37">
      <c r="A37" t="n">
        <v>2300</v>
      </c>
      <c r="B37" t="inlineStr">
        <is>
          <t>Bank borrowings</t>
        </is>
      </c>
      <c r="C37" s="7">
        <f>Translation!F37</f>
        <v/>
      </c>
      <c r="D37" s="7">
        <f>Translation!I37</f>
        <v/>
      </c>
      <c r="E37" s="7">
        <f>Translation!L37</f>
        <v/>
      </c>
      <c r="F37" s="7">
        <f>Translation!O37</f>
        <v/>
      </c>
      <c r="G37" s="7">
        <f>Translation!R37</f>
        <v/>
      </c>
      <c r="H37" s="7">
        <f>Translation!U37</f>
        <v/>
      </c>
      <c r="I37" s="7">
        <f>Translation!X37</f>
        <v/>
      </c>
      <c r="J37" s="7">
        <f>Translation!AA37</f>
        <v/>
      </c>
      <c r="K37" s="7">
        <f>Translation!AD37</f>
        <v/>
      </c>
      <c r="L37" s="7" t="n">
        <v>0</v>
      </c>
      <c r="M37" s="7">
        <f>SUM(C37:L37)</f>
        <v/>
      </c>
    </row>
    <row r="38">
      <c r="A38" t="n">
        <v>3000</v>
      </c>
      <c r="B38" t="inlineStr">
        <is>
          <t>Share capital</t>
        </is>
      </c>
      <c r="C38" s="7">
        <f>Translation!F38</f>
        <v/>
      </c>
      <c r="D38" s="7">
        <f>Translation!I38</f>
        <v/>
      </c>
      <c r="E38" s="7">
        <f>Translation!L38</f>
        <v/>
      </c>
      <c r="F38" s="7">
        <f>Translation!O38</f>
        <v/>
      </c>
      <c r="G38" s="7">
        <f>Translation!R38</f>
        <v/>
      </c>
      <c r="H38" s="7">
        <f>Translation!U38</f>
        <v/>
      </c>
      <c r="I38" s="7">
        <f>Translation!X38</f>
        <v/>
      </c>
      <c r="J38" s="7">
        <f>Translation!AA38</f>
        <v/>
      </c>
      <c r="K38" s="7">
        <f>Translation!AD38</f>
        <v/>
      </c>
      <c r="L38" s="7" t="n">
        <v>-131721982</v>
      </c>
      <c r="M38" s="7">
        <f>SUM(C38:L38)</f>
        <v/>
      </c>
    </row>
    <row r="39">
      <c r="A39" t="n">
        <v>3100</v>
      </c>
      <c r="B39" t="inlineStr">
        <is>
          <t>Retained earnings</t>
        </is>
      </c>
      <c r="C39" s="7">
        <f>Translation!F39</f>
        <v/>
      </c>
      <c r="D39" s="7">
        <f>Translation!I39</f>
        <v/>
      </c>
      <c r="E39" s="7">
        <f>Translation!L39</f>
        <v/>
      </c>
      <c r="F39" s="7">
        <f>Translation!O39</f>
        <v/>
      </c>
      <c r="G39" s="7">
        <f>Translation!R39</f>
        <v/>
      </c>
      <c r="H39" s="7">
        <f>Translation!U39</f>
        <v/>
      </c>
      <c r="I39" s="7">
        <f>Translation!X39</f>
        <v/>
      </c>
      <c r="J39" s="7">
        <f>Translation!AA39</f>
        <v/>
      </c>
      <c r="K39" s="7">
        <f>Translation!AD39</f>
        <v/>
      </c>
      <c r="L39" s="7" t="n">
        <v>0</v>
      </c>
      <c r="M39" s="7">
        <f>SUM(C39:L39)</f>
        <v/>
      </c>
    </row>
    <row r="40">
      <c r="A40" t="n">
        <v>3200</v>
      </c>
      <c r="B40" t="inlineStr">
        <is>
          <t>Translation reserve (CTA)</t>
        </is>
      </c>
      <c r="C40" s="7">
        <f>Translation!F40</f>
        <v/>
      </c>
      <c r="D40" s="7">
        <f>Translation!I40</f>
        <v/>
      </c>
      <c r="E40" s="7">
        <f>Translation!L40</f>
        <v/>
      </c>
      <c r="F40" s="7">
        <f>Translation!O40</f>
        <v/>
      </c>
      <c r="G40" s="7">
        <f>Translation!R40</f>
        <v/>
      </c>
      <c r="H40" s="7">
        <f>Translation!U40</f>
        <v/>
      </c>
      <c r="I40" s="7">
        <f>Translation!X40</f>
        <v/>
      </c>
      <c r="J40" s="7">
        <f>Translation!AA40</f>
        <v/>
      </c>
      <c r="K40" s="7">
        <f>Translation!AD40</f>
        <v/>
      </c>
      <c r="L40" s="7" t="n">
        <v>0</v>
      </c>
      <c r="M40" s="7">
        <f>SUM(C40:L40)</f>
        <v/>
      </c>
    </row>
    <row r="42">
      <c r="B42" s="3" t="inlineStr">
        <is>
          <t>Net profit (P&amp;L total)</t>
        </is>
      </c>
      <c r="M42" s="7">
        <f>SUM(M5,M6,M7,M8,M9,M10,M11,M12,M13,M14,M15,M16,M17,M18,M19,M20,M21,M22,M23,M24,M25,M26,M27)</f>
        <v/>
      </c>
    </row>
    <row r="43">
      <c r="B43" s="3" t="inlineStr">
        <is>
          <t>Total assets</t>
        </is>
      </c>
      <c r="M43" s="7">
        <f>M28+M29+M30+M31+M32+M33</f>
        <v/>
      </c>
    </row>
    <row r="44">
      <c r="B44" s="3" t="inlineStr">
        <is>
          <t>Total liabilities + equity</t>
        </is>
      </c>
      <c r="M44" s="7">
        <f>M34+M35+M36+M37+M38+M39+M40</f>
        <v/>
      </c>
    </row>
    <row r="45">
      <c r="B45" s="8" t="inlineStr">
        <is>
          <t>Balance check (must be 0)</t>
        </is>
      </c>
      <c r="M45" s="7">
        <f>M43-M44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Ravaan Medical Group - consolidated income statement (AED)</t>
        </is>
      </c>
    </row>
    <row r="2">
      <c r="A2" s="2" t="inlineStr">
        <is>
          <t>Actual vs budget and prior year. Budget translated at budget rates; actuals at monthly average rates.</t>
        </is>
      </c>
    </row>
    <row r="4">
      <c r="A4" s="5" t="inlineStr">
        <is>
          <t>Line</t>
        </is>
      </c>
      <c r="B4" s="5" t="inlineStr">
        <is>
          <t>FY2025</t>
        </is>
      </c>
      <c r="C4" s="5" t="inlineStr">
        <is>
          <t>YTD Sep-25</t>
        </is>
      </c>
      <c r="D4" s="5" t="inlineStr">
        <is>
          <t>YTD Sep-26</t>
        </is>
      </c>
      <c r="E4" s="5" t="inlineStr">
        <is>
          <t>Budget YTD Sep-26</t>
        </is>
      </c>
      <c r="F4" s="5" t="inlineStr">
        <is>
          <t>Var vs budget</t>
        </is>
      </c>
      <c r="G4" s="5" t="inlineStr">
        <is>
          <t>Var vs PY</t>
        </is>
      </c>
      <c r="H4" s="5" t="inlineStr">
        <is>
          <t>Var vs PY %</t>
        </is>
      </c>
    </row>
    <row r="5">
      <c r="A5" t="inlineStr">
        <is>
          <t>Consultation revenue</t>
        </is>
      </c>
      <c r="B5" s="7" t="n">
        <v>199074897</v>
      </c>
      <c r="C5" s="7" t="n">
        <v>146189497</v>
      </c>
      <c r="D5" s="7" t="n">
        <v>164098431</v>
      </c>
      <c r="E5" s="7" t="n">
        <v>173586055</v>
      </c>
      <c r="F5" s="7">
        <f>D5-E5</f>
        <v/>
      </c>
      <c r="G5" s="7">
        <f>D5-C5</f>
        <v/>
      </c>
      <c r="H5" s="9">
        <f>IF(C5=0,"",(D5-C5)/ABS(C5))</f>
        <v/>
      </c>
    </row>
    <row r="6">
      <c r="A6" t="inlineStr">
        <is>
          <t>Procedures revenue</t>
        </is>
      </c>
      <c r="B6" s="7" t="n">
        <v>153426525</v>
      </c>
      <c r="C6" s="7" t="n">
        <v>112811826</v>
      </c>
      <c r="D6" s="7" t="n">
        <v>130437490</v>
      </c>
      <c r="E6" s="7" t="n">
        <v>135195872</v>
      </c>
      <c r="F6" s="7">
        <f>D6-E6</f>
        <v/>
      </c>
      <c r="G6" s="7">
        <f>D6-C6</f>
        <v/>
      </c>
      <c r="H6" s="9">
        <f>IF(C6=0,"",(D6-C6)/ABS(C6))</f>
        <v/>
      </c>
    </row>
    <row r="7">
      <c r="A7" t="inlineStr">
        <is>
          <t>Diagnostics revenue</t>
        </is>
      </c>
      <c r="B7" s="7" t="n">
        <v>41293877</v>
      </c>
      <c r="C7" s="7" t="n">
        <v>30306087</v>
      </c>
      <c r="D7" s="7" t="n">
        <v>34528629</v>
      </c>
      <c r="E7" s="7" t="n">
        <v>36658464</v>
      </c>
      <c r="F7" s="7">
        <f>D7-E7</f>
        <v/>
      </c>
      <c r="G7" s="7">
        <f>D7-C7</f>
        <v/>
      </c>
      <c r="H7" s="9">
        <f>IF(C7=0,"",(D7-C7)/ABS(C7))</f>
        <v/>
      </c>
    </row>
    <row r="8">
      <c r="A8" t="inlineStr">
        <is>
          <t>Pharmacy revenue</t>
        </is>
      </c>
      <c r="B8" s="7" t="n">
        <v>39486723</v>
      </c>
      <c r="C8" s="7" t="n">
        <v>29002807</v>
      </c>
      <c r="D8" s="7" t="n">
        <v>32759975</v>
      </c>
      <c r="E8" s="7" t="n">
        <v>34634022</v>
      </c>
      <c r="F8" s="7">
        <f>D8-E8</f>
        <v/>
      </c>
      <c r="G8" s="7">
        <f>D8-C8</f>
        <v/>
      </c>
      <c r="H8" s="9">
        <f>IF(C8=0,"",(D8-C8)/ABS(C8))</f>
        <v/>
      </c>
    </row>
    <row r="9">
      <c r="A9" s="10" t="inlineStr">
        <is>
          <t>Gross revenue</t>
        </is>
      </c>
      <c r="B9" s="11" t="n">
        <v>433282022</v>
      </c>
      <c r="C9" s="11" t="n">
        <v>318310216</v>
      </c>
      <c r="D9" s="11" t="n">
        <v>361824526</v>
      </c>
      <c r="E9" s="11" t="n">
        <v>380074413</v>
      </c>
      <c r="F9" s="11">
        <f>D9-E9</f>
        <v/>
      </c>
      <c r="G9" s="11">
        <f>D9-C9</f>
        <v/>
      </c>
      <c r="H9" s="12">
        <f>IF(C9=0,"",(D9-C9)/ABS(C9))</f>
        <v/>
      </c>
    </row>
    <row r="10">
      <c r="A10" t="inlineStr">
        <is>
          <t>Contractual discounts</t>
        </is>
      </c>
      <c r="B10" s="7" t="n">
        <v>-75435679</v>
      </c>
      <c r="C10" s="7" t="n">
        <v>-55615569</v>
      </c>
      <c r="D10" s="7" t="n">
        <v>-61353278</v>
      </c>
      <c r="E10" s="7" t="n">
        <v>-64875205</v>
      </c>
      <c r="F10" s="7">
        <f>D10-E10</f>
        <v/>
      </c>
      <c r="G10" s="7">
        <f>D10-C10</f>
        <v/>
      </c>
      <c r="H10" s="9">
        <f>IF(C10=0,"",(D10-C10)/ABS(C10))</f>
        <v/>
      </c>
    </row>
    <row r="11">
      <c r="A11" s="10" t="inlineStr">
        <is>
          <t>Net revenue</t>
        </is>
      </c>
      <c r="B11" s="11" t="n">
        <v>357846343</v>
      </c>
      <c r="C11" s="11" t="n">
        <v>262694647</v>
      </c>
      <c r="D11" s="11" t="n">
        <v>300471248</v>
      </c>
      <c r="E11" s="11" t="n">
        <v>315199207</v>
      </c>
      <c r="F11" s="11">
        <f>D11-E11</f>
        <v/>
      </c>
      <c r="G11" s="11">
        <f>D11-C11</f>
        <v/>
      </c>
      <c r="H11" s="12">
        <f>IF(C11=0,"",(D11-C11)/ABS(C11))</f>
        <v/>
      </c>
    </row>
    <row r="12">
      <c r="A12" t="inlineStr">
        <is>
          <t>Doctor salaries</t>
        </is>
      </c>
      <c r="B12" s="7" t="n">
        <v>-117377423</v>
      </c>
      <c r="C12" s="7" t="n">
        <v>-87340721</v>
      </c>
      <c r="D12" s="7" t="n">
        <v>-98981586</v>
      </c>
      <c r="E12" s="7" t="n">
        <v>-100121513</v>
      </c>
      <c r="F12" s="7">
        <f>D12-E12</f>
        <v/>
      </c>
      <c r="G12" s="7">
        <f>D12-C12</f>
        <v/>
      </c>
      <c r="H12" s="9">
        <f>IF(C12=0,"",(D12-C12)/ABS(C12))</f>
        <v/>
      </c>
    </row>
    <row r="13">
      <c r="A13" t="inlineStr">
        <is>
          <t>Nursing &amp; clinical staff</t>
        </is>
      </c>
      <c r="B13" s="7" t="n">
        <v>-33917294</v>
      </c>
      <c r="C13" s="7" t="n">
        <v>-25251843</v>
      </c>
      <c r="D13" s="7" t="n">
        <v>-28526340</v>
      </c>
      <c r="E13" s="7" t="n">
        <v>-28819628</v>
      </c>
      <c r="F13" s="7">
        <f>D13-E13</f>
        <v/>
      </c>
      <c r="G13" s="7">
        <f>D13-C13</f>
        <v/>
      </c>
      <c r="H13" s="9">
        <f>IF(C13=0,"",(D13-C13)/ABS(C13))</f>
        <v/>
      </c>
    </row>
    <row r="14">
      <c r="A14" t="inlineStr">
        <is>
          <t>Medical consumables</t>
        </is>
      </c>
      <c r="B14" s="7" t="n">
        <v>-28415958</v>
      </c>
      <c r="C14" s="7" t="n">
        <v>-20866973</v>
      </c>
      <c r="D14" s="7" t="n">
        <v>-24186133</v>
      </c>
      <c r="E14" s="7" t="n">
        <v>-25221167</v>
      </c>
      <c r="F14" s="7">
        <f>D14-E14</f>
        <v/>
      </c>
      <c r="G14" s="7">
        <f>D14-C14</f>
        <v/>
      </c>
      <c r="H14" s="9">
        <f>IF(C14=0,"",(D14-C14)/ABS(C14))</f>
        <v/>
      </c>
    </row>
    <row r="15">
      <c r="A15" t="inlineStr">
        <is>
          <t>Pharmacy cost of goods</t>
        </is>
      </c>
      <c r="B15" s="7" t="n">
        <v>-22163986</v>
      </c>
      <c r="C15" s="7" t="n">
        <v>-16263479</v>
      </c>
      <c r="D15" s="7" t="n">
        <v>-18425175</v>
      </c>
      <c r="E15" s="7" t="n">
        <v>-19511952</v>
      </c>
      <c r="F15" s="7">
        <f>D15-E15</f>
        <v/>
      </c>
      <c r="G15" s="7">
        <f>D15-C15</f>
        <v/>
      </c>
      <c r="H15" s="9">
        <f>IF(C15=0,"",(D15-C15)/ABS(C15))</f>
        <v/>
      </c>
    </row>
    <row r="16">
      <c r="A16" s="10" t="inlineStr">
        <is>
          <t>Gross profit</t>
        </is>
      </c>
      <c r="B16" s="11" t="n">
        <v>155971683</v>
      </c>
      <c r="C16" s="11" t="n">
        <v>112971631</v>
      </c>
      <c r="D16" s="11" t="n">
        <v>130352014</v>
      </c>
      <c r="E16" s="11" t="n">
        <v>141524948</v>
      </c>
      <c r="F16" s="11">
        <f>D16-E16</f>
        <v/>
      </c>
      <c r="G16" s="11">
        <f>D16-C16</f>
        <v/>
      </c>
      <c r="H16" s="12">
        <f>IF(C16=0,"",(D16-C16)/ABS(C16))</f>
        <v/>
      </c>
    </row>
    <row r="17">
      <c r="A17" t="inlineStr">
        <is>
          <t>Rent &amp; facility</t>
        </is>
      </c>
      <c r="B17" s="7" t="n">
        <v>-31274527</v>
      </c>
      <c r="C17" s="7" t="n">
        <v>-23031180</v>
      </c>
      <c r="D17" s="7" t="n">
        <v>-25215927</v>
      </c>
      <c r="E17" s="7" t="n">
        <v>-25554907</v>
      </c>
      <c r="F17" s="7">
        <f>D17-E17</f>
        <v/>
      </c>
      <c r="G17" s="7">
        <f>D17-C17</f>
        <v/>
      </c>
      <c r="H17" s="9">
        <f>IF(C17=0,"",(D17-C17)/ABS(C17))</f>
        <v/>
      </c>
    </row>
    <row r="18">
      <c r="A18" t="inlineStr">
        <is>
          <t>Admin &amp; front-office staff</t>
        </is>
      </c>
      <c r="B18" s="7" t="n">
        <v>-22842362</v>
      </c>
      <c r="C18" s="7" t="n">
        <v>-16961391</v>
      </c>
      <c r="D18" s="7" t="n">
        <v>-18833822</v>
      </c>
      <c r="E18" s="7" t="n">
        <v>-19045589</v>
      </c>
      <c r="F18" s="7">
        <f>D18-E18</f>
        <v/>
      </c>
      <c r="G18" s="7">
        <f>D18-C18</f>
        <v/>
      </c>
      <c r="H18" s="9">
        <f>IF(C18=0,"",(D18-C18)/ABS(C18))</f>
        <v/>
      </c>
    </row>
    <row r="19">
      <c r="A19" t="inlineStr">
        <is>
          <t>Marketing</t>
        </is>
      </c>
      <c r="B19" s="7" t="n">
        <v>-8032816</v>
      </c>
      <c r="C19" s="7" t="n">
        <v>-5755932</v>
      </c>
      <c r="D19" s="7" t="n">
        <v>-6696515</v>
      </c>
      <c r="E19" s="7" t="n">
        <v>-7063386</v>
      </c>
      <c r="F19" s="7">
        <f>D19-E19</f>
        <v/>
      </c>
      <c r="G19" s="7">
        <f>D19-C19</f>
        <v/>
      </c>
      <c r="H19" s="9">
        <f>IF(C19=0,"",(D19-C19)/ABS(C19))</f>
        <v/>
      </c>
    </row>
    <row r="20">
      <c r="A20" t="inlineStr">
        <is>
          <t>IT &amp; systems</t>
        </is>
      </c>
      <c r="B20" s="7" t="n">
        <v>-5590048</v>
      </c>
      <c r="C20" s="7" t="n">
        <v>-4161606</v>
      </c>
      <c r="D20" s="7" t="n">
        <v>-4460727</v>
      </c>
      <c r="E20" s="7" t="n">
        <v>-4520098</v>
      </c>
      <c r="F20" s="7">
        <f>D20-E20</f>
        <v/>
      </c>
      <c r="G20" s="7">
        <f>D20-C20</f>
        <v/>
      </c>
      <c r="H20" s="9">
        <f>IF(C20=0,"",(D20-C20)/ABS(C20))</f>
        <v/>
      </c>
    </row>
    <row r="21">
      <c r="A21" t="inlineStr">
        <is>
          <t>Utilities &amp; maintenance</t>
        </is>
      </c>
      <c r="B21" s="7" t="n">
        <v>-5095082</v>
      </c>
      <c r="C21" s="7" t="n">
        <v>-3874876</v>
      </c>
      <c r="D21" s="7" t="n">
        <v>-4068474</v>
      </c>
      <c r="E21" s="7" t="n">
        <v>-4104289</v>
      </c>
      <c r="F21" s="7">
        <f>D21-E21</f>
        <v/>
      </c>
      <c r="G21" s="7">
        <f>D21-C21</f>
        <v/>
      </c>
      <c r="H21" s="9">
        <f>IF(C21=0,"",(D21-C21)/ABS(C21))</f>
        <v/>
      </c>
    </row>
    <row r="22">
      <c r="A22" t="inlineStr">
        <is>
          <t>Claim denials written off</t>
        </is>
      </c>
      <c r="B22" s="7" t="n">
        <v>-10142869</v>
      </c>
      <c r="C22" s="7" t="n">
        <v>-7698844</v>
      </c>
      <c r="D22" s="7" t="n">
        <v>-8809143</v>
      </c>
      <c r="E22" s="7" t="n">
        <v>-8605362</v>
      </c>
      <c r="F22" s="7">
        <f>D22-E22</f>
        <v/>
      </c>
      <c r="G22" s="7">
        <f>D22-C22</f>
        <v/>
      </c>
      <c r="H22" s="9">
        <f>IF(C22=0,"",(D22-C22)/ABS(C22))</f>
        <v/>
      </c>
    </row>
    <row r="23">
      <c r="A23" t="inlineStr">
        <is>
          <t>Other operating costs</t>
        </is>
      </c>
      <c r="B23" s="7" t="n">
        <v>-6073564</v>
      </c>
      <c r="C23" s="7" t="n">
        <v>-4450135</v>
      </c>
      <c r="D23" s="7" t="n">
        <v>-5015839</v>
      </c>
      <c r="E23" s="7" t="n">
        <v>-5210933</v>
      </c>
      <c r="F23" s="7">
        <f>D23-E23</f>
        <v/>
      </c>
      <c r="G23" s="7">
        <f>D23-C23</f>
        <v/>
      </c>
      <c r="H23" s="9">
        <f>IF(C23=0,"",(D23-C23)/ABS(C23))</f>
        <v/>
      </c>
    </row>
    <row r="24">
      <c r="A24" t="inlineStr">
        <is>
          <t>Head office costs</t>
        </is>
      </c>
      <c r="B24" s="7" t="n">
        <v>-22658594</v>
      </c>
      <c r="C24" s="7" t="n">
        <v>-17056715</v>
      </c>
      <c r="D24" s="7" t="n">
        <v>-17649188</v>
      </c>
      <c r="E24" s="7" t="n">
        <v>-17100000</v>
      </c>
      <c r="F24" s="7">
        <f>D24-E24</f>
        <v/>
      </c>
      <c r="G24" s="7">
        <f>D24-C24</f>
        <v/>
      </c>
      <c r="H24" s="9">
        <f>IF(C24=0,"",(D24-C24)/ABS(C24))</f>
        <v/>
      </c>
    </row>
    <row r="25">
      <c r="A25" t="inlineStr">
        <is>
          <t>Intercompany management fees (net)</t>
        </is>
      </c>
      <c r="B25" s="7" t="n">
        <v>-0</v>
      </c>
      <c r="C25" s="7" t="n">
        <v>-0</v>
      </c>
      <c r="D25" s="7" t="n">
        <v>-0</v>
      </c>
      <c r="E25" s="7" t="n">
        <v>-0</v>
      </c>
      <c r="F25" s="7">
        <f>D25-E25</f>
        <v/>
      </c>
      <c r="G25" s="7">
        <f>D25-C25</f>
        <v/>
      </c>
      <c r="H25" s="9">
        <f>IF(C25=0,"",(D25-C25)/ABS(C25))</f>
        <v/>
      </c>
    </row>
    <row r="26">
      <c r="A26" s="10" t="inlineStr">
        <is>
          <t>EBITDA</t>
        </is>
      </c>
      <c r="B26" s="11" t="n">
        <v>44261821</v>
      </c>
      <c r="C26" s="11" t="n">
        <v>29980953</v>
      </c>
      <c r="D26" s="11" t="n">
        <v>39602378</v>
      </c>
      <c r="E26" s="11" t="n">
        <v>50320382</v>
      </c>
      <c r="F26" s="11">
        <f>D26-E26</f>
        <v/>
      </c>
      <c r="G26" s="11">
        <f>D26-C26</f>
        <v/>
      </c>
      <c r="H26" s="12">
        <f>IF(C26=0,"",(D26-C26)/ABS(C26))</f>
        <v/>
      </c>
    </row>
    <row r="27">
      <c r="A27" t="inlineStr">
        <is>
          <t>Depreciation &amp; amortisation</t>
        </is>
      </c>
      <c r="B27" s="7" t="n">
        <v>-23016804</v>
      </c>
      <c r="C27" s="7" t="n">
        <v>-17213965</v>
      </c>
      <c r="D27" s="7" t="n">
        <v>-17282407</v>
      </c>
      <c r="E27" s="7" t="n">
        <v>-17460844</v>
      </c>
      <c r="F27" s="7">
        <f>D27-E27</f>
        <v/>
      </c>
      <c r="G27" s="7">
        <f>D27-C27</f>
        <v/>
      </c>
      <c r="H27" s="9">
        <f>IF(C27=0,"",(D27-C27)/ABS(C27))</f>
        <v/>
      </c>
    </row>
    <row r="28">
      <c r="A28" s="10" t="inlineStr">
        <is>
          <t>EBIT</t>
        </is>
      </c>
      <c r="B28" s="11" t="n">
        <v>21245017</v>
      </c>
      <c r="C28" s="11" t="n">
        <v>12766987</v>
      </c>
      <c r="D28" s="11" t="n">
        <v>22319971</v>
      </c>
      <c r="E28" s="11" t="n">
        <v>32859538</v>
      </c>
      <c r="F28" s="11">
        <f>D28-E28</f>
        <v/>
      </c>
      <c r="G28" s="11">
        <f>D28-C28</f>
        <v/>
      </c>
      <c r="H28" s="12">
        <f>IF(C28=0,"",(D28-C28)/ABS(C28))</f>
        <v/>
      </c>
    </row>
    <row r="29">
      <c r="A29" t="inlineStr">
        <is>
          <t>Finance costs</t>
        </is>
      </c>
      <c r="B29" s="7" t="n">
        <v>-2958115</v>
      </c>
      <c r="C29" s="7" t="n">
        <v>-2107592</v>
      </c>
      <c r="D29" s="7" t="n">
        <v>-2227620</v>
      </c>
      <c r="E29" s="7" t="n">
        <v>-2228182</v>
      </c>
      <c r="F29" s="7">
        <f>D29-E29</f>
        <v/>
      </c>
      <c r="G29" s="7">
        <f>D29-C29</f>
        <v/>
      </c>
      <c r="H29" s="9">
        <f>IF(C29=0,"",(D29-C29)/ABS(C29))</f>
        <v/>
      </c>
    </row>
    <row r="30">
      <c r="A30" s="10" t="inlineStr">
        <is>
          <t>Profit before tax</t>
        </is>
      </c>
      <c r="B30" s="11" t="n">
        <v>18286902</v>
      </c>
      <c r="C30" s="11" t="n">
        <v>10659396</v>
      </c>
      <c r="D30" s="11" t="n">
        <v>20092351</v>
      </c>
      <c r="E30" s="11" t="n">
        <v>30631355</v>
      </c>
      <c r="F30" s="11">
        <f>D30-E30</f>
        <v/>
      </c>
      <c r="G30" s="11">
        <f>D30-C30</f>
        <v/>
      </c>
      <c r="H30" s="12">
        <f>IF(C30=0,"",(D30-C30)/ABS(C30))</f>
        <v/>
      </c>
    </row>
    <row r="31">
      <c r="A31" t="inlineStr">
        <is>
          <t>Income tax</t>
        </is>
      </c>
      <c r="B31" s="7" t="n">
        <v>-5429035</v>
      </c>
      <c r="C31" s="7" t="n">
        <v>-3654588</v>
      </c>
      <c r="D31" s="7" t="n">
        <v>-4537024</v>
      </c>
      <c r="E31" s="7" t="n">
        <v>-6236994</v>
      </c>
      <c r="F31" s="7">
        <f>D31-E31</f>
        <v/>
      </c>
      <c r="G31" s="7">
        <f>D31-C31</f>
        <v/>
      </c>
      <c r="H31" s="9">
        <f>IF(C31=0,"",(D31-C31)/ABS(C31))</f>
        <v/>
      </c>
    </row>
    <row r="32">
      <c r="A32" s="10" t="inlineStr">
        <is>
          <t>Net profit</t>
        </is>
      </c>
      <c r="B32" s="11" t="n">
        <v>12857867</v>
      </c>
      <c r="C32" s="11" t="n">
        <v>7004807</v>
      </c>
      <c r="D32" s="11" t="n">
        <v>15555327</v>
      </c>
      <c r="E32" s="11" t="n">
        <v>24394361</v>
      </c>
      <c r="F32" s="11">
        <f>D32-E32</f>
        <v/>
      </c>
      <c r="G32" s="11">
        <f>D32-C32</f>
        <v/>
      </c>
      <c r="H32" s="12">
        <f>IF(C32=0,"",(D32-C32)/ABS(C32))</f>
        <v/>
      </c>
    </row>
    <row r="34">
      <c r="A34" s="13" t="inlineStr">
        <is>
          <t>Gross margin %</t>
        </is>
      </c>
      <c r="B34" s="9">
        <f>B16/B11</f>
        <v/>
      </c>
      <c r="C34" s="9">
        <f>C16/C11</f>
        <v/>
      </c>
      <c r="D34" s="9">
        <f>D16/D11</f>
        <v/>
      </c>
      <c r="E34" s="9">
        <f>E16/E11</f>
        <v/>
      </c>
    </row>
    <row r="35">
      <c r="A35" s="13" t="inlineStr">
        <is>
          <t>EBITDA margin %</t>
        </is>
      </c>
      <c r="B35" s="9">
        <f>B26/B11</f>
        <v/>
      </c>
      <c r="C35" s="9">
        <f>C26/C11</f>
        <v/>
      </c>
      <c r="D35" s="9">
        <f>D26/D11</f>
        <v/>
      </c>
      <c r="E35" s="9">
        <f>E26/E11</f>
        <v/>
      </c>
    </row>
    <row r="36">
      <c r="A36" s="13" t="inlineStr">
        <is>
          <t>Net margin %</t>
        </is>
      </c>
      <c r="B36" s="9">
        <f>B32/B11</f>
        <v/>
      </c>
      <c r="C36" s="9">
        <f>C32/C11</f>
        <v/>
      </c>
      <c r="D36" s="9">
        <f>D32/D11</f>
        <v/>
      </c>
      <c r="E36" s="9">
        <f>E32/E11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Ravaan Medical Group - consolidated balance sheet (AED)</t>
        </is>
      </c>
    </row>
    <row r="2">
      <c r="A2" s="2" t="inlineStr">
        <is>
          <t>Closing rates at each date; equity at historical rates; translation reserve balances.</t>
        </is>
      </c>
    </row>
    <row r="4">
      <c r="A4" s="5" t="inlineStr">
        <is>
          <t>Line</t>
        </is>
      </c>
      <c r="B4" s="5" t="inlineStr">
        <is>
          <t>31-Dec-2024</t>
        </is>
      </c>
      <c r="C4" s="5" t="inlineStr">
        <is>
          <t>31-Dec-2025</t>
        </is>
      </c>
      <c r="D4" s="5" t="inlineStr">
        <is>
          <t>30-Sep-2026</t>
        </is>
      </c>
    </row>
    <row r="5">
      <c r="A5" t="inlineStr">
        <is>
          <t>Cash &amp; bank</t>
        </is>
      </c>
      <c r="B5" s="7" t="n">
        <v>55861694</v>
      </c>
      <c r="C5" s="7" t="n">
        <v>80327815</v>
      </c>
      <c r="D5" s="7" t="n">
        <v>97948948</v>
      </c>
    </row>
    <row r="6">
      <c r="A6" t="inlineStr">
        <is>
          <t>Insurance receivables</t>
        </is>
      </c>
      <c r="B6" s="7" t="n">
        <v>52474532</v>
      </c>
      <c r="C6" s="7" t="n">
        <v>57221183</v>
      </c>
      <c r="D6" s="7" t="n">
        <v>60452182</v>
      </c>
    </row>
    <row r="7">
      <c r="A7" t="inlineStr">
        <is>
          <t>Inventory (medical &amp; pharmacy)</t>
        </is>
      </c>
      <c r="B7" s="7" t="n">
        <v>5795036</v>
      </c>
      <c r="C7" s="7" t="n">
        <v>6353011</v>
      </c>
      <c r="D7" s="7" t="n">
        <v>7531149</v>
      </c>
    </row>
    <row r="8">
      <c r="A8" t="inlineStr">
        <is>
          <t>Prepayments &amp; deposits</t>
        </is>
      </c>
      <c r="B8" s="7" t="n">
        <v>2457639</v>
      </c>
      <c r="C8" s="7" t="n">
        <v>2746737</v>
      </c>
      <c r="D8" s="7" t="n">
        <v>2775568</v>
      </c>
    </row>
    <row r="9">
      <c r="A9" t="inlineStr">
        <is>
          <t>Property, plant &amp; equipment</t>
        </is>
      </c>
      <c r="B9" s="7" t="n">
        <v>107066517</v>
      </c>
      <c r="C9" s="7" t="n">
        <v>100130174</v>
      </c>
      <c r="D9" s="7" t="n">
        <v>84203822</v>
      </c>
    </row>
    <row r="10">
      <c r="A10" s="10" t="inlineStr">
        <is>
          <t>Total assets</t>
        </is>
      </c>
      <c r="B10" s="11" t="n">
        <v>223655419</v>
      </c>
      <c r="C10" s="11" t="n">
        <v>246778919</v>
      </c>
      <c r="D10" s="11" t="n">
        <v>252911669</v>
      </c>
    </row>
    <row r="11">
      <c r="A11" t="inlineStr">
        <is>
          <t>Trade payables</t>
        </is>
      </c>
      <c r="B11" s="7" t="n">
        <v>7536674</v>
      </c>
      <c r="C11" s="7" t="n">
        <v>8476332</v>
      </c>
      <c r="D11" s="7" t="n">
        <v>9587304</v>
      </c>
    </row>
    <row r="12">
      <c r="A12" t="inlineStr">
        <is>
          <t>Accrued salaries &amp; benefits</t>
        </is>
      </c>
      <c r="B12" s="7" t="n">
        <v>7687358</v>
      </c>
      <c r="C12" s="7" t="n">
        <v>8547355</v>
      </c>
      <c r="D12" s="7" t="n">
        <v>8824578</v>
      </c>
    </row>
    <row r="13">
      <c r="A13" t="inlineStr">
        <is>
          <t>Income tax payable</t>
        </is>
      </c>
      <c r="B13" s="7" t="n">
        <v>1315963</v>
      </c>
      <c r="C13" s="7" t="n">
        <v>1773727</v>
      </c>
      <c r="D13" s="7" t="n">
        <v>1441444</v>
      </c>
    </row>
    <row r="14">
      <c r="A14" t="inlineStr">
        <is>
          <t>Bank borrowings</t>
        </is>
      </c>
      <c r="B14" s="7" t="n">
        <v>38041667</v>
      </c>
      <c r="C14" s="7" t="n">
        <v>45925726</v>
      </c>
      <c r="D14" s="7" t="n">
        <v>37061320</v>
      </c>
    </row>
    <row r="15">
      <c r="A15" s="10" t="inlineStr">
        <is>
          <t>Total liabilities</t>
        </is>
      </c>
      <c r="B15" s="11" t="n">
        <v>54581661</v>
      </c>
      <c r="C15" s="11" t="n">
        <v>64723139</v>
      </c>
      <c r="D15" s="11" t="n">
        <v>56914645</v>
      </c>
    </row>
    <row r="16">
      <c r="A16" t="inlineStr">
        <is>
          <t>Share capital</t>
        </is>
      </c>
      <c r="B16" s="7" t="n">
        <v>146721982</v>
      </c>
      <c r="C16" s="7" t="n">
        <v>146721982</v>
      </c>
      <c r="D16" s="7" t="n">
        <v>146721982</v>
      </c>
    </row>
    <row r="17">
      <c r="A17" t="inlineStr">
        <is>
          <t>Retained earnings</t>
        </is>
      </c>
      <c r="B17" s="7" t="n">
        <v>27395382</v>
      </c>
      <c r="C17" s="7" t="n">
        <v>40253250</v>
      </c>
      <c r="D17" s="7" t="n">
        <v>55808576</v>
      </c>
    </row>
    <row r="18">
      <c r="A18" t="inlineStr">
        <is>
          <t>Translation reserve (CTA)</t>
        </is>
      </c>
      <c r="B18" s="7" t="n">
        <v>-5043606</v>
      </c>
      <c r="C18" s="7" t="n">
        <v>-4919451</v>
      </c>
      <c r="D18" s="7" t="n">
        <v>-6533534</v>
      </c>
    </row>
    <row r="19">
      <c r="A19" s="10" t="inlineStr">
        <is>
          <t>Total equity</t>
        </is>
      </c>
      <c r="B19" s="11" t="n">
        <v>169073758</v>
      </c>
      <c r="C19" s="11" t="n">
        <v>182055780</v>
      </c>
      <c r="D19" s="11" t="n">
        <v>195997024</v>
      </c>
    </row>
    <row r="20">
      <c r="A20" s="10" t="inlineStr">
        <is>
          <t>Total liabilities &amp; equity</t>
        </is>
      </c>
      <c r="B20" s="11" t="n">
        <v>223655419</v>
      </c>
      <c r="C20" s="11" t="n">
        <v>246778919</v>
      </c>
      <c r="D20" s="11" t="n">
        <v>252911669</v>
      </c>
    </row>
    <row r="21">
      <c r="A21" s="14" t="inlineStr">
        <is>
          <t>Check: assets - liabilities - equity</t>
        </is>
      </c>
      <c r="B21" s="7">
        <f>B10-B20</f>
        <v/>
      </c>
      <c r="C21" s="7">
        <f>C10-C20</f>
        <v/>
      </c>
      <c r="D21" s="7">
        <f>D10-D20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Ravaan Medical Group - consolidated cash flow (AED, indirect)</t>
        </is>
      </c>
    </row>
    <row r="2">
      <c r="A2" s="2" t="inlineStr">
        <is>
          <t>Each entity's local-currency cash flows translated at monthly average rates; the difference to the change in translated cash is the effect of exchange rates.</t>
        </is>
      </c>
    </row>
    <row r="4">
      <c r="A4" s="5" t="inlineStr">
        <is>
          <t>Line</t>
        </is>
      </c>
      <c r="B4" s="5" t="inlineStr">
        <is>
          <t>FY2025</t>
        </is>
      </c>
      <c r="C4" s="5" t="inlineStr">
        <is>
          <t>YTD Sep-26</t>
        </is>
      </c>
    </row>
    <row r="5">
      <c r="A5" t="inlineStr">
        <is>
          <t>Net profit</t>
        </is>
      </c>
      <c r="B5" s="7" t="n">
        <v>12857867</v>
      </c>
      <c r="C5" s="7" t="n">
        <v>15555327</v>
      </c>
    </row>
    <row r="6">
      <c r="A6" t="inlineStr">
        <is>
          <t>Depreciation &amp; amortisation</t>
        </is>
      </c>
      <c r="B6" s="7" t="n">
        <v>23016804</v>
      </c>
      <c r="C6" s="7" t="n">
        <v>17282407</v>
      </c>
    </row>
    <row r="7">
      <c r="A7" t="inlineStr">
        <is>
          <t>Change in insurance receivables</t>
        </is>
      </c>
      <c r="B7" s="7" t="n">
        <v>-4483388</v>
      </c>
      <c r="C7" s="7" t="n">
        <v>-3872902</v>
      </c>
    </row>
    <row r="8">
      <c r="A8" t="inlineStr">
        <is>
          <t>Change in inventory</t>
        </is>
      </c>
      <c r="B8" s="7" t="n">
        <v>-505640</v>
      </c>
      <c r="C8" s="7" t="n">
        <v>-1317078</v>
      </c>
    </row>
    <row r="9">
      <c r="A9" t="inlineStr">
        <is>
          <t>Change in prepayments</t>
        </is>
      </c>
      <c r="B9" s="7" t="n">
        <v>-265753</v>
      </c>
      <c r="C9" s="7" t="n">
        <v>-92467</v>
      </c>
    </row>
    <row r="10">
      <c r="A10" t="inlineStr">
        <is>
          <t>Change in trade payables</t>
        </is>
      </c>
      <c r="B10" s="7" t="n">
        <v>877217</v>
      </c>
      <c r="C10" s="7" t="n">
        <v>1292940</v>
      </c>
    </row>
    <row r="11">
      <c r="A11" t="inlineStr">
        <is>
          <t>Change in accrued salaries</t>
        </is>
      </c>
      <c r="B11" s="7" t="n">
        <v>812499</v>
      </c>
      <c r="C11" s="7" t="n">
        <v>433834</v>
      </c>
    </row>
    <row r="12">
      <c r="A12" t="inlineStr">
        <is>
          <t>Change in tax payable</t>
        </is>
      </c>
      <c r="B12" s="7" t="n">
        <v>430023</v>
      </c>
      <c r="C12" s="7" t="n">
        <v>-297793</v>
      </c>
    </row>
    <row r="13">
      <c r="A13" s="10" t="inlineStr">
        <is>
          <t>Cash from operating activities</t>
        </is>
      </c>
      <c r="B13" s="11" t="n">
        <v>32739629</v>
      </c>
      <c r="C13" s="11" t="n">
        <v>28984266</v>
      </c>
    </row>
    <row r="14">
      <c r="A14" t="inlineStr">
        <is>
          <t>Capital expenditure</t>
        </is>
      </c>
      <c r="B14" s="7" t="n">
        <v>-15929186</v>
      </c>
      <c r="C14" s="7" t="n">
        <v>-3305184</v>
      </c>
    </row>
    <row r="15">
      <c r="A15" s="10" t="inlineStr">
        <is>
          <t>Cash used in investing</t>
        </is>
      </c>
      <c r="B15" s="11" t="n">
        <v>-15929186</v>
      </c>
      <c r="C15" s="11" t="n">
        <v>-3305184</v>
      </c>
    </row>
    <row r="16">
      <c r="A16" t="inlineStr">
        <is>
          <t>Net borrowings / (repayments)</t>
        </is>
      </c>
      <c r="B16" s="7" t="n">
        <v>7435645</v>
      </c>
      <c r="C16" s="7" t="n">
        <v>-6727490</v>
      </c>
    </row>
    <row r="17">
      <c r="A17" s="10" t="inlineStr">
        <is>
          <t>Cash from financing</t>
        </is>
      </c>
      <c r="B17" s="11" t="n">
        <v>7435645</v>
      </c>
      <c r="C17" s="11" t="n">
        <v>-6727490</v>
      </c>
    </row>
    <row r="18">
      <c r="A18" t="inlineStr">
        <is>
          <t>Effect of exchange rates on cash</t>
        </is>
      </c>
      <c r="B18" s="7" t="n">
        <v>220032</v>
      </c>
      <c r="C18" s="7" t="n">
        <v>-1330460</v>
      </c>
    </row>
    <row r="19">
      <c r="A19" s="10" t="inlineStr">
        <is>
          <t>Net change in cash</t>
        </is>
      </c>
      <c r="B19" s="11" t="n">
        <v>24466121</v>
      </c>
      <c r="C19" s="11" t="n">
        <v>17621133</v>
      </c>
    </row>
    <row r="20">
      <c r="A20" t="inlineStr">
        <is>
          <t>Opening cash</t>
        </is>
      </c>
      <c r="B20" s="7" t="n">
        <v>55861694</v>
      </c>
      <c r="C20" s="7" t="n">
        <v>80327815</v>
      </c>
    </row>
    <row r="21">
      <c r="A21" t="inlineStr">
        <is>
          <t>Closing cash</t>
        </is>
      </c>
      <c r="B21" s="7" t="n">
        <v>80327815</v>
      </c>
      <c r="C21" s="7" t="n">
        <v>97948948</v>
      </c>
    </row>
    <row r="22">
      <c r="A22" s="14" t="inlineStr">
        <is>
          <t>Check: opening + change - closing</t>
        </is>
      </c>
      <c r="B22" s="7">
        <f>B20+B19-B21</f>
        <v/>
      </c>
      <c r="C22" s="7">
        <f>C20+C19-C21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6" customWidth="1" min="3" max="3"/>
    <col width="18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Translation reserve (CTA) by entity - AED</t>
        </is>
      </c>
    </row>
    <row r="2">
      <c r="A2" s="2" t="inlineStr">
        <is>
          <t>Negative = the local currency weakened against the AED while the group held net assets there.</t>
        </is>
      </c>
    </row>
    <row r="4">
      <c r="A4" s="5" t="inlineStr">
        <is>
          <t>Entity</t>
        </is>
      </c>
      <c r="B4" s="5" t="inlineStr">
        <is>
          <t>Currency</t>
        </is>
      </c>
      <c r="C4" s="5" t="inlineStr">
        <is>
          <t>CTA 31-Dec-24</t>
        </is>
      </c>
      <c r="D4" s="5" t="inlineStr">
        <is>
          <t>Movement FY2025</t>
        </is>
      </c>
      <c r="E4" s="5" t="inlineStr">
        <is>
          <t>CTA 31-Dec-25</t>
        </is>
      </c>
      <c r="F4" s="5" t="inlineStr">
        <is>
          <t>Movement Jan-Sep 26</t>
        </is>
      </c>
      <c r="G4" s="5" t="inlineStr">
        <is>
          <t>CTA 30-Sep-26</t>
        </is>
      </c>
    </row>
    <row r="5">
      <c r="A5" t="inlineStr">
        <is>
          <t>UAE - Ravaan Medical Centres LLC</t>
        </is>
      </c>
      <c r="B5" t="inlineStr">
        <is>
          <t>AED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</row>
    <row r="6">
      <c r="A6" t="inlineStr">
        <is>
          <t>KSA - Ravaan Medical Company</t>
        </is>
      </c>
      <c r="B6" t="inlineStr">
        <is>
          <t>SAR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</row>
    <row r="7">
      <c r="A7" t="inlineStr">
        <is>
          <t>Qatar - Ravaan Healthcare WLL</t>
        </is>
      </c>
      <c r="B7" t="inlineStr">
        <is>
          <t>QAR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</row>
    <row r="8">
      <c r="A8" t="inlineStr">
        <is>
          <t>Kuwait - Ravaan Clinics Company KSCC</t>
        </is>
      </c>
      <c r="B8" t="inlineStr">
        <is>
          <t>KWD</t>
        </is>
      </c>
      <c r="C8" s="7" t="n">
        <v>-224941</v>
      </c>
      <c r="D8" s="7" t="n">
        <v>-24096</v>
      </c>
      <c r="E8" s="7" t="n">
        <v>-249037</v>
      </c>
      <c r="F8" s="7" t="n">
        <v>-86897</v>
      </c>
      <c r="G8" s="7" t="n">
        <v>-335934</v>
      </c>
    </row>
    <row r="9">
      <c r="A9" t="inlineStr">
        <is>
          <t>Pakistan - Ravaan Health (Private) Limited</t>
        </is>
      </c>
      <c r="B9" t="inlineStr">
        <is>
          <t>PKR</t>
        </is>
      </c>
      <c r="C9" s="7" t="n">
        <v>-4676723</v>
      </c>
      <c r="D9" s="7" t="n">
        <v>-32103</v>
      </c>
      <c r="E9" s="7" t="n">
        <v>-4708826</v>
      </c>
      <c r="F9" s="7" t="n">
        <v>-550639</v>
      </c>
      <c r="G9" s="7" t="n">
        <v>-5259465</v>
      </c>
    </row>
    <row r="10">
      <c r="A10" t="inlineStr">
        <is>
          <t>Afghanistan - Ravaan Medical Services</t>
        </is>
      </c>
      <c r="B10" t="inlineStr">
        <is>
          <t>AFN</t>
        </is>
      </c>
      <c r="C10" s="7" t="n">
        <v>257208</v>
      </c>
      <c r="D10" s="7" t="n">
        <v>20485</v>
      </c>
      <c r="E10" s="7" t="n">
        <v>277694</v>
      </c>
      <c r="F10" s="7" t="n">
        <v>-280599</v>
      </c>
      <c r="G10" s="7" t="n">
        <v>-2905</v>
      </c>
    </row>
    <row r="11">
      <c r="A11" t="inlineStr">
        <is>
          <t>UK - Ravaan Clinics UK Limited</t>
        </is>
      </c>
      <c r="B11" t="inlineStr">
        <is>
          <t>GBP</t>
        </is>
      </c>
      <c r="C11" s="7" t="n">
        <v>-399151</v>
      </c>
      <c r="D11" s="7" t="n">
        <v>159869</v>
      </c>
      <c r="E11" s="7" t="n">
        <v>-239282</v>
      </c>
      <c r="F11" s="7" t="n">
        <v>-695948</v>
      </c>
      <c r="G11" s="7" t="n">
        <v>-935230</v>
      </c>
    </row>
    <row r="12">
      <c r="A12" t="inlineStr">
        <is>
          <t>USA - Ravaan Medical Group USA Inc.</t>
        </is>
      </c>
      <c r="B12" t="inlineStr">
        <is>
          <t>USD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</row>
    <row r="13">
      <c r="A13" t="inlineStr">
        <is>
          <t>Head office - Ravaan Medical Group Holding Ltd</t>
        </is>
      </c>
      <c r="B13" t="inlineStr">
        <is>
          <t>AED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</row>
    <row r="14">
      <c r="A14" s="10" t="inlineStr">
        <is>
          <t>Group</t>
        </is>
      </c>
      <c r="B14" s="10" t="n"/>
      <c r="C14" s="11">
        <f>SUM(C5:C13)</f>
        <v/>
      </c>
      <c r="D14" s="11">
        <f>SUM(D5:D13)</f>
        <v/>
      </c>
      <c r="E14" s="11">
        <f>SUM(E5:E13)</f>
        <v/>
      </c>
      <c r="F14" s="11">
        <f>SUM(F5:F13)</f>
        <v/>
      </c>
      <c r="G14" s="11">
        <f>SUM(G5:G13)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8" customWidth="1" min="3" max="3"/>
    <col width="18" customWidth="1" min="4" max="4"/>
    <col width="12" customWidth="1" min="5" max="5"/>
    <col width="20" customWidth="1" min="6" max="6"/>
    <col width="22" customWidth="1" min="7" max="7"/>
    <col width="18" customWidth="1" min="8" max="8"/>
    <col width="18" customWidth="1" min="9" max="9"/>
    <col width="16" customWidth="1" min="10" max="10"/>
    <col width="14" customWidth="1" min="11" max="11"/>
    <col width="16" customWidth="1" min="12" max="12"/>
  </cols>
  <sheetData>
    <row r="1">
      <c r="A1" s="1" t="inlineStr">
        <is>
          <t>Net revenue and EBITDA growth - reported vs constant currency (Jan-Sep 2026 vs Jan-Sep 2025)</t>
        </is>
      </c>
    </row>
    <row r="2">
      <c r="A2" s="2" t="inlineStr">
        <is>
          <t>Constant currency = 2026 local-currency results translated at 2025 average rates.</t>
        </is>
      </c>
    </row>
    <row r="4">
      <c r="A4" s="5" t="inlineStr">
        <is>
          <t>Country</t>
        </is>
      </c>
      <c r="B4" s="5" t="inlineStr">
        <is>
          <t>Currency</t>
        </is>
      </c>
      <c r="C4" s="5" t="inlineStr">
        <is>
          <t>Revenue LCY 2026</t>
        </is>
      </c>
      <c r="D4" s="5" t="inlineStr">
        <is>
          <t>Revenue LCY 2025</t>
        </is>
      </c>
      <c r="E4" s="5" t="inlineStr">
        <is>
          <t>LCY growth %</t>
        </is>
      </c>
      <c r="F4" s="5" t="inlineStr">
        <is>
          <t>Revenue AED 2026 (reported)</t>
        </is>
      </c>
      <c r="G4" s="5" t="inlineStr">
        <is>
          <t>Revenue AED 2026 at 2025 rates</t>
        </is>
      </c>
      <c r="H4" s="5" t="inlineStr">
        <is>
          <t>Revenue AED 2025</t>
        </is>
      </c>
      <c r="I4" s="5" t="inlineStr">
        <is>
          <t>Organic growth AED</t>
        </is>
      </c>
      <c r="J4" s="5" t="inlineStr">
        <is>
          <t>FX impact AED</t>
        </is>
      </c>
      <c r="K4" s="5" t="inlineStr">
        <is>
          <t>Reported growth %</t>
        </is>
      </c>
      <c r="L4" s="5" t="inlineStr">
        <is>
          <t>Constant-currency growth %</t>
        </is>
      </c>
    </row>
    <row r="5">
      <c r="A5" t="inlineStr">
        <is>
          <t>UAE</t>
        </is>
      </c>
      <c r="B5" t="inlineStr">
        <is>
          <t>AED</t>
        </is>
      </c>
      <c r="C5" s="7" t="n">
        <v>77408630</v>
      </c>
      <c r="D5" s="7" t="n">
        <v>70095718</v>
      </c>
      <c r="E5" s="9">
        <f>IF(D5=0,"",C5/D5-1)</f>
        <v/>
      </c>
      <c r="F5" s="7" t="n">
        <v>77408630</v>
      </c>
      <c r="G5" s="7" t="n">
        <v>77408630</v>
      </c>
      <c r="H5" s="7" t="n">
        <v>70095718</v>
      </c>
      <c r="I5" s="7">
        <f>G5-H5</f>
        <v/>
      </c>
      <c r="J5" s="7">
        <f>F5-G5</f>
        <v/>
      </c>
      <c r="K5" s="9">
        <f>IF(H5=0,"",F5/H5-1)</f>
        <v/>
      </c>
      <c r="L5" s="9">
        <f>IF(H5=0,"",G5/H5-1)</f>
        <v/>
      </c>
    </row>
    <row r="6">
      <c r="A6" t="inlineStr">
        <is>
          <t>KSA</t>
        </is>
      </c>
      <c r="B6" t="inlineStr">
        <is>
          <t>SAR</t>
        </is>
      </c>
      <c r="C6" s="7" t="n">
        <v>52614526</v>
      </c>
      <c r="D6" s="7" t="n">
        <v>44691275</v>
      </c>
      <c r="E6" s="9">
        <f>IF(D6=0,"",C6/D6-1)</f>
        <v/>
      </c>
      <c r="F6" s="7" t="n">
        <v>51527159</v>
      </c>
      <c r="G6" s="7" t="n">
        <v>51527159</v>
      </c>
      <c r="H6" s="7" t="n">
        <v>43767656</v>
      </c>
      <c r="I6" s="7">
        <f>G6-H6</f>
        <v/>
      </c>
      <c r="J6" s="7">
        <f>F6-G6</f>
        <v/>
      </c>
      <c r="K6" s="9">
        <f>IF(H6=0,"",F6/H6-1)</f>
        <v/>
      </c>
      <c r="L6" s="9">
        <f>IF(H6=0,"",G6/H6-1)</f>
        <v/>
      </c>
    </row>
    <row r="7">
      <c r="A7" t="inlineStr">
        <is>
          <t>Qatar</t>
        </is>
      </c>
      <c r="B7" t="inlineStr">
        <is>
          <t>QAR</t>
        </is>
      </c>
      <c r="C7" s="7" t="n">
        <v>27505224</v>
      </c>
      <c r="D7" s="7" t="n">
        <v>26002277</v>
      </c>
      <c r="E7" s="9">
        <f>IF(D7=0,"",C7/D7-1)</f>
        <v/>
      </c>
      <c r="F7" s="7" t="n">
        <v>27750806</v>
      </c>
      <c r="G7" s="7" t="n">
        <v>27750806</v>
      </c>
      <c r="H7" s="7" t="n">
        <v>26234440</v>
      </c>
      <c r="I7" s="7">
        <f>G7-H7</f>
        <v/>
      </c>
      <c r="J7" s="7">
        <f>F7-G7</f>
        <v/>
      </c>
      <c r="K7" s="9">
        <f>IF(H7=0,"",F7/H7-1)</f>
        <v/>
      </c>
      <c r="L7" s="9">
        <f>IF(H7=0,"",G7/H7-1)</f>
        <v/>
      </c>
    </row>
    <row r="8">
      <c r="A8" t="inlineStr">
        <is>
          <t>Kuwait</t>
        </is>
      </c>
      <c r="B8" t="inlineStr">
        <is>
          <t>KWD</t>
        </is>
      </c>
      <c r="C8" s="7" t="n">
        <v>2558183</v>
      </c>
      <c r="D8" s="7" t="n">
        <v>2384209</v>
      </c>
      <c r="E8" s="9">
        <f>IF(D8=0,"",C8/D8-1)</f>
        <v/>
      </c>
      <c r="F8" s="7" t="n">
        <v>30482879</v>
      </c>
      <c r="G8" s="7" t="n">
        <v>30519240</v>
      </c>
      <c r="H8" s="7" t="n">
        <v>28443737</v>
      </c>
      <c r="I8" s="7">
        <f>G8-H8</f>
        <v/>
      </c>
      <c r="J8" s="7">
        <f>F8-G8</f>
        <v/>
      </c>
      <c r="K8" s="9">
        <f>IF(H8=0,"",F8/H8-1)</f>
        <v/>
      </c>
      <c r="L8" s="9">
        <f>IF(H8=0,"",G8/H8-1)</f>
        <v/>
      </c>
    </row>
    <row r="9">
      <c r="A9" t="inlineStr">
        <is>
          <t>Pakistan</t>
        </is>
      </c>
      <c r="B9" t="inlineStr">
        <is>
          <t>PKR</t>
        </is>
      </c>
      <c r="C9" s="7" t="n">
        <v>566089142</v>
      </c>
      <c r="D9" s="7" t="n">
        <v>441806721</v>
      </c>
      <c r="E9" s="9">
        <f>IF(D9=0,"",C9/D9-1)</f>
        <v/>
      </c>
      <c r="F9" s="7" t="n">
        <v>6855951</v>
      </c>
      <c r="G9" s="7" t="n">
        <v>7404328</v>
      </c>
      <c r="H9" s="7" t="n">
        <v>5778830</v>
      </c>
      <c r="I9" s="7">
        <f>G9-H9</f>
        <v/>
      </c>
      <c r="J9" s="7">
        <f>F9-G9</f>
        <v/>
      </c>
      <c r="K9" s="9">
        <f>IF(H9=0,"",F9/H9-1)</f>
        <v/>
      </c>
      <c r="L9" s="9">
        <f>IF(H9=0,"",G9/H9-1)</f>
        <v/>
      </c>
    </row>
    <row r="10">
      <c r="A10" t="inlineStr">
        <is>
          <t>Afghanistan</t>
        </is>
      </c>
      <c r="B10" t="inlineStr">
        <is>
          <t>AFN</t>
        </is>
      </c>
      <c r="C10" s="7" t="n">
        <v>22382888</v>
      </c>
      <c r="D10" s="7" t="n">
        <v>20149407</v>
      </c>
      <c r="E10" s="9">
        <f>IF(D10=0,"",C10/D10-1)</f>
        <v/>
      </c>
      <c r="F10" s="7" t="n">
        <v>1102198</v>
      </c>
      <c r="G10" s="7" t="n">
        <v>1183423</v>
      </c>
      <c r="H10" s="7" t="n">
        <v>1065290</v>
      </c>
      <c r="I10" s="7">
        <f>G10-H10</f>
        <v/>
      </c>
      <c r="J10" s="7">
        <f>F10-G10</f>
        <v/>
      </c>
      <c r="K10" s="9">
        <f>IF(H10=0,"",F10/H10-1)</f>
        <v/>
      </c>
      <c r="L10" s="9">
        <f>IF(H10=0,"",G10/H10-1)</f>
        <v/>
      </c>
    </row>
    <row r="11">
      <c r="A11" t="inlineStr">
        <is>
          <t>UK</t>
        </is>
      </c>
      <c r="B11" t="inlineStr">
        <is>
          <t>GBP</t>
        </is>
      </c>
      <c r="C11" s="7" t="n">
        <v>10551698</v>
      </c>
      <c r="D11" s="7" t="n">
        <v>6769681</v>
      </c>
      <c r="E11" s="9">
        <f>IF(D11=0,"",C11/D11-1)</f>
        <v/>
      </c>
      <c r="F11" s="7" t="n">
        <v>48989350</v>
      </c>
      <c r="G11" s="7" t="n">
        <v>51345535</v>
      </c>
      <c r="H11" s="7" t="n">
        <v>32892344</v>
      </c>
      <c r="I11" s="7">
        <f>G11-H11</f>
        <v/>
      </c>
      <c r="J11" s="7">
        <f>F11-G11</f>
        <v/>
      </c>
      <c r="K11" s="9">
        <f>IF(H11=0,"",F11/H11-1)</f>
        <v/>
      </c>
      <c r="L11" s="9">
        <f>IF(H11=0,"",G11/H11-1)</f>
        <v/>
      </c>
    </row>
    <row r="12">
      <c r="A12" t="inlineStr">
        <is>
          <t>USA</t>
        </is>
      </c>
      <c r="B12" t="inlineStr">
        <is>
          <t>USD</t>
        </is>
      </c>
      <c r="C12" s="7" t="n">
        <v>15344935</v>
      </c>
      <c r="D12" s="7" t="n">
        <v>14817327</v>
      </c>
      <c r="E12" s="9">
        <f>IF(D12=0,"",C12/D12-1)</f>
        <v/>
      </c>
      <c r="F12" s="7" t="n">
        <v>56354273</v>
      </c>
      <c r="G12" s="7" t="n">
        <v>56354273</v>
      </c>
      <c r="H12" s="7" t="n">
        <v>54416632</v>
      </c>
      <c r="I12" s="7">
        <f>G12-H12</f>
        <v/>
      </c>
      <c r="J12" s="7">
        <f>F12-G12</f>
        <v/>
      </c>
      <c r="K12" s="9">
        <f>IF(H12=0,"",F12/H12-1)</f>
        <v/>
      </c>
      <c r="L12" s="9">
        <f>IF(H12=0,"",G12/H12-1)</f>
        <v/>
      </c>
    </row>
    <row r="13">
      <c r="A13" s="10" t="inlineStr">
        <is>
          <t>Group</t>
        </is>
      </c>
      <c r="B13" s="10" t="n"/>
      <c r="C13" s="10" t="n"/>
      <c r="D13" s="10" t="n"/>
      <c r="E13" s="10" t="n"/>
      <c r="F13" s="11">
        <f>SUM(F5:F12)</f>
        <v/>
      </c>
      <c r="G13" s="11">
        <f>SUM(G5:G12)</f>
        <v/>
      </c>
      <c r="H13" s="11">
        <f>SUM(H5:H12)</f>
        <v/>
      </c>
      <c r="I13" s="11">
        <f>SUM(I5:I12)</f>
        <v/>
      </c>
      <c r="J13" s="11">
        <f>SUM(J5:J12)</f>
        <v/>
      </c>
      <c r="K13" s="12">
        <f>F13/H13-1</f>
        <v/>
      </c>
      <c r="L13" s="12">
        <f>G13/H13-1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2026-10-23T14:03:39Z</dcterms:created>
  <dcterms:modified xmlns:dcterms="http://purl.org/dc/terms/" xmlns:xsi="http://www.w3.org/2001/XMLSchema-instance" xsi:type="dcterms:W3CDTF">2026-10-23T14:03:43Z</dcterms:modified>
</cp:coreProperties>
</file>